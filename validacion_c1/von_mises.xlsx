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n Mi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color rgb="001A1A2E"/>
      <sz val="11"/>
    </font>
    <font>
      <name val="Calibri"/>
      <b val="1"/>
      <color rgb="00FFFFFF"/>
      <sz val="11"/>
    </font>
    <font>
      <name val="Calibri"/>
      <color rgb="002E86C1"/>
      <sz val="11"/>
    </font>
  </fonts>
  <fills count="5">
    <fill>
      <patternFill/>
    </fill>
    <fill>
      <patternFill patternType="gray125"/>
    </fill>
    <fill>
      <patternFill patternType="solid">
        <fgColor rgb="00D6EAF8"/>
        <bgColor rgb="00D6EAF8"/>
      </patternFill>
    </fill>
    <fill>
      <patternFill patternType="solid">
        <fgColor rgb="00EBF5FB"/>
        <bgColor rgb="00EBF5FB"/>
      </patternFill>
    </fill>
    <fill>
      <patternFill patternType="solid">
        <fgColor rgb="001A5276"/>
        <bgColor rgb="001A527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vertical="center"/>
    </xf>
    <xf numFmtId="0" fontId="1" fillId="2" borderId="1" applyAlignment="1" pivotButton="0" quotePrefix="0" xfId="0">
      <alignment vertical="center"/>
    </xf>
    <xf numFmtId="0" fontId="2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6" customWidth="1" min="3" max="3"/>
    <col width="18" customWidth="1" min="4" max="4"/>
    <col width="16" customWidth="1" min="5" max="5"/>
    <col width="12" customWidth="1" min="6" max="6"/>
    <col width="14" customWidth="1" min="7" max="7"/>
  </cols>
  <sheetData>
    <row r="1" ht="17.25" customHeight="1">
      <c r="A1" s="1" t="inlineStr">
        <is>
          <t>k</t>
        </is>
      </c>
      <c r="B1" s="1" t="inlineStr">
        <is>
          <t>xₖ</t>
        </is>
      </c>
      <c r="C1" s="1" t="inlineStr">
        <is>
          <t>f(xₖ)</t>
        </is>
      </c>
      <c r="D1" s="1" t="inlineStr">
        <is>
          <t>f'(x₀) cte.</t>
        </is>
      </c>
      <c r="E1" s="1" t="inlineStr">
        <is>
          <t>xₖ₊₁</t>
        </is>
      </c>
      <c r="F1" s="1" t="inlineStr">
        <is>
          <t>Error %</t>
        </is>
      </c>
      <c r="G1" s="1" t="inlineStr">
        <is>
          <t>Convergencia</t>
        </is>
      </c>
    </row>
    <row r="2" ht="15" customHeight="1">
      <c r="A2" s="2" t="n">
        <v>0</v>
      </c>
      <c r="B2" s="2" t="n">
        <v>2</v>
      </c>
      <c r="C2" s="2">
        <f>-5+B2^3-2*B2</f>
        <v/>
      </c>
      <c r="D2" s="2">
        <f>10</f>
        <v/>
      </c>
      <c r="E2" s="2">
        <f>B2-(C2/D2)</f>
        <v/>
      </c>
      <c r="F2" s="2">
        <f>ABS((E2-B2)/E2)*100</f>
        <v/>
      </c>
      <c r="G2" s="2">
        <f>IF(F2&lt;0.00001,"SI","NO")</f>
        <v/>
      </c>
    </row>
    <row r="3" ht="15" customHeight="1">
      <c r="A3" s="3" t="n">
        <v>1</v>
      </c>
      <c r="B3" s="3">
        <f>IF(G2="SI","",E2)</f>
        <v/>
      </c>
      <c r="C3" s="3">
        <f>IF(G2="SI","",-5+B3^3-2*B3)</f>
        <v/>
      </c>
      <c r="D3" s="3">
        <f>IF(G2="SI","",10)</f>
        <v/>
      </c>
      <c r="E3" s="3">
        <f>IF(G2="SI","",B3-(C3/D3))</f>
        <v/>
      </c>
      <c r="F3" s="3">
        <f>IF(G2="SI","",ABS((E3-B3)/E3)*100)</f>
        <v/>
      </c>
      <c r="G3" s="3">
        <f>IF(G2="SI","",IF(F3&lt;0.00001,"SI","NO"))</f>
        <v/>
      </c>
    </row>
    <row r="4" ht="15" customHeight="1">
      <c r="A4" s="2" t="n">
        <v>2</v>
      </c>
      <c r="B4" s="2">
        <f>IF(OR(G3="SI",B3=""),"",E3)</f>
        <v/>
      </c>
      <c r="C4" s="2">
        <f>IF(OR(G3="SI",B3=""),"",-5+B4^3-2*B4)</f>
        <v/>
      </c>
      <c r="D4" s="2">
        <f>IF(OR(G3="SI",B3=""),"",10)</f>
        <v/>
      </c>
      <c r="E4" s="2">
        <f>IF(OR(G3="SI",B3=""),"",B4-(C4/D4))</f>
        <v/>
      </c>
      <c r="F4" s="2">
        <f>IF(OR(G3="SI",B3=""),"",ABS((E4-B4)/E4)*100)</f>
        <v/>
      </c>
      <c r="G4" s="2">
        <f>IF(OR(G3="SI",B3=""),"",IF(F4&lt;0.00001,"SI","NO"))</f>
        <v/>
      </c>
    </row>
    <row r="5" ht="15" customHeight="1">
      <c r="A5" s="3" t="n">
        <v>3</v>
      </c>
      <c r="B5" s="3">
        <f>IF(OR(G4="SI",B4=""),"",E4)</f>
        <v/>
      </c>
      <c r="C5" s="3">
        <f>IF(OR(G4="SI",B4=""),"",-5+B5^3-2*B5)</f>
        <v/>
      </c>
      <c r="D5" s="3">
        <f>IF(OR(G4="SI",B4=""),"",10)</f>
        <v/>
      </c>
      <c r="E5" s="3">
        <f>IF(OR(G4="SI",B4=""),"",B5-(C5/D5))</f>
        <v/>
      </c>
      <c r="F5" s="3">
        <f>IF(OR(G4="SI",B4=""),"",ABS((E5-B5)/E5)*100)</f>
        <v/>
      </c>
      <c r="G5" s="3">
        <f>IF(OR(G4="SI",B4=""),"",IF(F5&lt;0.00001,"SI","NO"))</f>
        <v/>
      </c>
    </row>
    <row r="6" ht="15" customHeight="1">
      <c r="A6" s="2" t="n">
        <v>4</v>
      </c>
      <c r="B6" s="2">
        <f>IF(OR(G5="SI",B5=""),"",E5)</f>
        <v/>
      </c>
      <c r="C6" s="2">
        <f>IF(OR(G5="SI",B5=""),"",-5+B6^3-2*B6)</f>
        <v/>
      </c>
      <c r="D6" s="2">
        <f>IF(OR(G5="SI",B5=""),"",10)</f>
        <v/>
      </c>
      <c r="E6" s="2">
        <f>IF(OR(G5="SI",B5=""),"",B6-(C6/D6))</f>
        <v/>
      </c>
      <c r="F6" s="2">
        <f>IF(OR(G5="SI",B5=""),"",ABS((E6-B6)/E6)*100)</f>
        <v/>
      </c>
      <c r="G6" s="2">
        <f>IF(OR(G5="SI",B5=""),"",IF(F6&lt;0.00001,"SI","NO"))</f>
        <v/>
      </c>
    </row>
    <row r="7" ht="15" customHeight="1">
      <c r="A7" s="3" t="n">
        <v>5</v>
      </c>
      <c r="B7" s="3">
        <f>IF(OR(G6="SI",B6=""),"",E6)</f>
        <v/>
      </c>
      <c r="C7" s="3">
        <f>IF(OR(G6="SI",B6=""),"",-5+B7^3-2*B7)</f>
        <v/>
      </c>
      <c r="D7" s="3">
        <f>IF(OR(G6="SI",B6=""),"",10)</f>
        <v/>
      </c>
      <c r="E7" s="3">
        <f>IF(OR(G6="SI",B6=""),"",B7-(C7/D7))</f>
        <v/>
      </c>
      <c r="F7" s="3">
        <f>IF(OR(G6="SI",B6=""),"",ABS((E7-B7)/E7)*100)</f>
        <v/>
      </c>
      <c r="G7" s="3">
        <f>IF(OR(G6="SI",B6=""),"",IF(F7&lt;0.00001,"SI","NO"))</f>
        <v/>
      </c>
    </row>
    <row r="8" ht="15" customHeight="1">
      <c r="A8" s="2" t="n">
        <v>6</v>
      </c>
      <c r="B8" s="2">
        <f>IF(OR(G7="SI",B7=""),"",E7)</f>
        <v/>
      </c>
      <c r="C8" s="2">
        <f>IF(OR(G7="SI",B7=""),"",-5+B8^3-2*B8)</f>
        <v/>
      </c>
      <c r="D8" s="2">
        <f>IF(OR(G7="SI",B7=""),"",10)</f>
        <v/>
      </c>
      <c r="E8" s="2">
        <f>IF(OR(G7="SI",B7=""),"",B8-(C8/D8))</f>
        <v/>
      </c>
      <c r="F8" s="2">
        <f>IF(OR(G7="SI",B7=""),"",ABS((E8-B8)/E8)*100)</f>
        <v/>
      </c>
      <c r="G8" s="2">
        <f>IF(OR(G7="SI",B7=""),"",IF(F8&lt;0.00001,"SI","NO"))</f>
        <v/>
      </c>
    </row>
    <row r="9" ht="17.25" customHeight="1">
      <c r="A9" s="4" t="inlineStr">
        <is>
          <t>MÉTODO DE VON MISES  —  f(x) = x³ - 2x - 5</t>
        </is>
      </c>
    </row>
    <row r="10" ht="15" customHeight="1">
      <c r="A10" s="5" t="inlineStr">
        <is>
          <t>Ecuación:</t>
        </is>
      </c>
      <c r="B10" s="6" t="inlineStr">
        <is>
          <t>f(x) = x³ - 2x - 5</t>
        </is>
      </c>
      <c r="D10" s="5" t="inlineStr">
        <is>
          <t>f'(x₀):</t>
        </is>
      </c>
      <c r="E10" s="6" t="inlineStr">
        <is>
          <t>10</t>
        </is>
      </c>
    </row>
    <row r="11" ht="15" customHeight="1">
      <c r="A11" s="5" t="inlineStr">
        <is>
          <t>f(x) =</t>
        </is>
      </c>
      <c r="B11" s="6" t="inlineStr">
        <is>
          <t>x³ - 2x - 5</t>
        </is>
      </c>
      <c r="C11" s="5" t="inlineStr">
        <is>
          <t>f'(x) =</t>
        </is>
      </c>
      <c r="D11" s="6" t="inlineStr">
        <is>
          <t>3x² - 2</t>
        </is>
      </c>
    </row>
  </sheetData>
  <mergeCells count="1">
    <mergeCell ref="A9:G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2026-06-11T20:28:24Z</dcterms:created>
  <dcterms:modified xsi:type="dcterms:W3CDTF">2026-06-11T20:28:24Z</dcterms:modified>
</cp:coreProperties>
</file>