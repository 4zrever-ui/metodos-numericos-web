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</fonts>
  <fills count="5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(B2+D2)/2</f>
        <v/>
      </c>
      <c r="D2" s="2" t="n">
        <v>2.5</v>
      </c>
      <c r="E2" s="2">
        <f>-5+B2^3-2*B2</f>
        <v/>
      </c>
      <c r="F2" s="2">
        <f>-5+C2^3-2*C2</f>
        <v/>
      </c>
      <c r="G2" s="2">
        <f>-5+D2^3-2*D2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IF(J2="SI","",IF(E2*F2&lt;0,B2,C2))</f>
        <v/>
      </c>
      <c r="C3" s="3">
        <f>IF(J2="SI","",(B3+D3)/2)</f>
        <v/>
      </c>
      <c r="D3" s="3">
        <f>IF(J2="SI","",IF(E2*F2&lt;0,C2,D2))</f>
        <v/>
      </c>
      <c r="E3" s="3">
        <f>IF(J2="SI","",-5+B3^3-2*B3)</f>
        <v/>
      </c>
      <c r="F3" s="3">
        <f>IF(J2="SI","",-5+C3^3-2*C3)</f>
        <v/>
      </c>
      <c r="G3" s="3">
        <f>IF(J2="SI","",-5+D3^3-2*D3)</f>
        <v/>
      </c>
      <c r="H3" s="3">
        <f>IF(J2="SI","",E3*F3)</f>
        <v/>
      </c>
      <c r="I3" s="3">
        <f>IF(J2="SI","",ABS((C3-C2)/C3)*100)</f>
        <v/>
      </c>
      <c r="J3" s="3">
        <f>IF(J2="SI","",IF(I3&lt;0.00001,"SI","NO"))</f>
        <v/>
      </c>
    </row>
    <row r="4" ht="15" customHeight="1">
      <c r="A4" s="2" t="n">
        <v>2</v>
      </c>
      <c r="B4" s="2">
        <f>IF(OR(J3="SI",C3=""),"",IF(E3*F3&lt;0,B3,C3))</f>
        <v/>
      </c>
      <c r="C4" s="2">
        <f>IF(OR(J3="SI",C3=""),"",(B4+D4)/2)</f>
        <v/>
      </c>
      <c r="D4" s="2">
        <f>IF(OR(J3="SI",C3=""),"",IF(E3*F3&lt;0,C3,D3))</f>
        <v/>
      </c>
      <c r="E4" s="2">
        <f>IF(OR(J3="SI",C3=""),"",-5+B4^3-2*B4)</f>
        <v/>
      </c>
      <c r="F4" s="2">
        <f>IF(OR(J3="SI",C3=""),"",-5+C4^3-2*C4)</f>
        <v/>
      </c>
      <c r="G4" s="2">
        <f>IF(OR(J3="SI",C3=""),"",-5+D4^3-2*D4)</f>
        <v/>
      </c>
      <c r="H4" s="2">
        <f>IF(OR(J3="SI",C3=""),"",E4*F4)</f>
        <v/>
      </c>
      <c r="I4" s="2">
        <f>IF(OR(J3="SI",C3=""),"",ABS((C4-C3)/C4)*100)</f>
        <v/>
      </c>
      <c r="J4" s="2">
        <f>IF(OR(J3="SI",C3=""),"",IF(I4&lt;0.00001,"SI","NO"))</f>
        <v/>
      </c>
    </row>
    <row r="5" ht="15" customHeight="1">
      <c r="A5" s="3" t="n">
        <v>3</v>
      </c>
      <c r="B5" s="3">
        <f>IF(OR(J4="SI",C4=""),"",IF(E4*F4&lt;0,B4,C4))</f>
        <v/>
      </c>
      <c r="C5" s="3">
        <f>IF(OR(J4="SI",C4=""),"",(B5+D5)/2)</f>
        <v/>
      </c>
      <c r="D5" s="3">
        <f>IF(OR(J4="SI",C4=""),"",IF(E4*F4&lt;0,C4,D4))</f>
        <v/>
      </c>
      <c r="E5" s="3">
        <f>IF(OR(J4="SI",C4=""),"",-5+B5^3-2*B5)</f>
        <v/>
      </c>
      <c r="F5" s="3">
        <f>IF(OR(J4="SI",C4=""),"",-5+C5^3-2*C5)</f>
        <v/>
      </c>
      <c r="G5" s="3">
        <f>IF(OR(J4="SI",C4=""),"",-5+D5^3-2*D5)</f>
        <v/>
      </c>
      <c r="H5" s="3">
        <f>IF(OR(J4="SI",C4=""),"",E5*F5)</f>
        <v/>
      </c>
      <c r="I5" s="3">
        <f>IF(OR(J4="SI",C4=""),"",ABS((C5-C4)/C5)*100)</f>
        <v/>
      </c>
      <c r="J5" s="3">
        <f>IF(OR(J4="SI",C4=""),"",IF(I5&lt;0.00001,"SI","NO"))</f>
        <v/>
      </c>
    </row>
    <row r="6" ht="15" customHeight="1">
      <c r="A6" s="2" t="n">
        <v>4</v>
      </c>
      <c r="B6" s="2">
        <f>IF(OR(J5="SI",C5=""),"",IF(E5*F5&lt;0,B5,C5))</f>
        <v/>
      </c>
      <c r="C6" s="2">
        <f>IF(OR(J5="SI",C5=""),"",(B6+D6)/2)</f>
        <v/>
      </c>
      <c r="D6" s="2">
        <f>IF(OR(J5="SI",C5=""),"",IF(E5*F5&lt;0,C5,D5))</f>
        <v/>
      </c>
      <c r="E6" s="2">
        <f>IF(OR(J5="SI",C5=""),"",-5+B6^3-2*B6)</f>
        <v/>
      </c>
      <c r="F6" s="2">
        <f>IF(OR(J5="SI",C5=""),"",-5+C6^3-2*C6)</f>
        <v/>
      </c>
      <c r="G6" s="2">
        <f>IF(OR(J5="SI",C5=""),"",-5+D6^3-2*D6)</f>
        <v/>
      </c>
      <c r="H6" s="2">
        <f>IF(OR(J5="SI",C5=""),"",E6*F6)</f>
        <v/>
      </c>
      <c r="I6" s="2">
        <f>IF(OR(J5="SI",C5=""),"",ABS((C6-C5)/C6)*100)</f>
        <v/>
      </c>
      <c r="J6" s="2">
        <f>IF(OR(J5="SI",C5=""),"",IF(I6&lt;0.00001,"SI","NO"))</f>
        <v/>
      </c>
    </row>
    <row r="7" ht="15" customHeight="1">
      <c r="A7" s="3" t="n">
        <v>5</v>
      </c>
      <c r="B7" s="3">
        <f>IF(OR(J6="SI",C6=""),"",IF(E6*F6&lt;0,B6,C6))</f>
        <v/>
      </c>
      <c r="C7" s="3">
        <f>IF(OR(J6="SI",C6=""),"",(B7+D7)/2)</f>
        <v/>
      </c>
      <c r="D7" s="3">
        <f>IF(OR(J6="SI",C6=""),"",IF(E6*F6&lt;0,C6,D6))</f>
        <v/>
      </c>
      <c r="E7" s="3">
        <f>IF(OR(J6="SI",C6=""),"",-5+B7^3-2*B7)</f>
        <v/>
      </c>
      <c r="F7" s="3">
        <f>IF(OR(J6="SI",C6=""),"",-5+C7^3-2*C7)</f>
        <v/>
      </c>
      <c r="G7" s="3">
        <f>IF(OR(J6="SI",C6=""),"",-5+D7^3-2*D7)</f>
        <v/>
      </c>
      <c r="H7" s="3">
        <f>IF(OR(J6="SI",C6=""),"",E7*F7)</f>
        <v/>
      </c>
      <c r="I7" s="3">
        <f>IF(OR(J6="SI",C6=""),"",ABS((C7-C6)/C7)*100)</f>
        <v/>
      </c>
      <c r="J7" s="3">
        <f>IF(OR(J6="SI",C6=""),"",IF(I7&lt;0.00001,"SI","NO"))</f>
        <v/>
      </c>
    </row>
    <row r="8" ht="15" customHeight="1">
      <c r="A8" s="2" t="n">
        <v>6</v>
      </c>
      <c r="B8" s="2">
        <f>IF(OR(J7="SI",C7=""),"",IF(E7*F7&lt;0,B7,C7))</f>
        <v/>
      </c>
      <c r="C8" s="2">
        <f>IF(OR(J7="SI",C7=""),"",(B8+D8)/2)</f>
        <v/>
      </c>
      <c r="D8" s="2">
        <f>IF(OR(J7="SI",C7=""),"",IF(E7*F7&lt;0,C7,D7))</f>
        <v/>
      </c>
      <c r="E8" s="2">
        <f>IF(OR(J7="SI",C7=""),"",-5+B8^3-2*B8)</f>
        <v/>
      </c>
      <c r="F8" s="2">
        <f>IF(OR(J7="SI",C7=""),"",-5+C8^3-2*C8)</f>
        <v/>
      </c>
      <c r="G8" s="2">
        <f>IF(OR(J7="SI",C7=""),"",-5+D8^3-2*D8)</f>
        <v/>
      </c>
      <c r="H8" s="2">
        <f>IF(OR(J7="SI",C7=""),"",E8*F8)</f>
        <v/>
      </c>
      <c r="I8" s="2">
        <f>IF(OR(J7="SI",C7=""),"",ABS((C8-C7)/C8)*100)</f>
        <v/>
      </c>
      <c r="J8" s="2">
        <f>IF(OR(J7="SI",C7=""),"",IF(I8&lt;0.00001,"SI","NO"))</f>
        <v/>
      </c>
    </row>
    <row r="9" ht="15" customHeight="1">
      <c r="A9" s="3" t="n">
        <v>7</v>
      </c>
      <c r="B9" s="3">
        <f>IF(OR(J8="SI",C8=""),"",IF(E8*F8&lt;0,B8,C8))</f>
        <v/>
      </c>
      <c r="C9" s="3">
        <f>IF(OR(J8="SI",C8=""),"",(B9+D9)/2)</f>
        <v/>
      </c>
      <c r="D9" s="3">
        <f>IF(OR(J8="SI",C8=""),"",IF(E8*F8&lt;0,C8,D8))</f>
        <v/>
      </c>
      <c r="E9" s="3">
        <f>IF(OR(J8="SI",C8=""),"",-5+B9^3-2*B9)</f>
        <v/>
      </c>
      <c r="F9" s="3">
        <f>IF(OR(J8="SI",C8=""),"",-5+C9^3-2*C9)</f>
        <v/>
      </c>
      <c r="G9" s="3">
        <f>IF(OR(J8="SI",C8=""),"",-5+D9^3-2*D9)</f>
        <v/>
      </c>
      <c r="H9" s="3">
        <f>IF(OR(J8="SI",C8=""),"",E9*F9)</f>
        <v/>
      </c>
      <c r="I9" s="3">
        <f>IF(OR(J8="SI",C8=""),"",ABS((C9-C8)/C9)*100)</f>
        <v/>
      </c>
      <c r="J9" s="3">
        <f>IF(OR(J8="SI",C8=""),"",IF(I9&lt;0.00001,"SI","NO"))</f>
        <v/>
      </c>
    </row>
    <row r="10" ht="15" customHeight="1">
      <c r="A10" s="2" t="n">
        <v>8</v>
      </c>
      <c r="B10" s="2">
        <f>IF(OR(J9="SI",C9=""),"",IF(E9*F9&lt;0,B9,C9))</f>
        <v/>
      </c>
      <c r="C10" s="2">
        <f>IF(OR(J9="SI",C9=""),"",(B10+D10)/2)</f>
        <v/>
      </c>
      <c r="D10" s="2">
        <f>IF(OR(J9="SI",C9=""),"",IF(E9*F9&lt;0,C9,D9))</f>
        <v/>
      </c>
      <c r="E10" s="2">
        <f>IF(OR(J9="SI",C9=""),"",-5+B10^3-2*B10)</f>
        <v/>
      </c>
      <c r="F10" s="2">
        <f>IF(OR(J9="SI",C9=""),"",-5+C10^3-2*C10)</f>
        <v/>
      </c>
      <c r="G10" s="2">
        <f>IF(OR(J9="SI",C9=""),"",-5+D10^3-2*D10)</f>
        <v/>
      </c>
      <c r="H10" s="2">
        <f>IF(OR(J9="SI",C9=""),"",E10*F10)</f>
        <v/>
      </c>
      <c r="I10" s="2">
        <f>IF(OR(J9="SI",C9=""),"",ABS((C10-C9)/C10)*100)</f>
        <v/>
      </c>
      <c r="J10" s="2">
        <f>IF(OR(J9="SI",C9=""),"",IF(I10&lt;0.00001,"SI","NO"))</f>
        <v/>
      </c>
    </row>
    <row r="11" ht="15" customHeight="1">
      <c r="A11" s="3" t="n">
        <v>9</v>
      </c>
      <c r="B11" s="3">
        <f>IF(OR(J10="SI",C10=""),"",IF(E10*F10&lt;0,B10,C10))</f>
        <v/>
      </c>
      <c r="C11" s="3">
        <f>IF(OR(J10="SI",C10=""),"",(B11+D11)/2)</f>
        <v/>
      </c>
      <c r="D11" s="3">
        <f>IF(OR(J10="SI",C10=""),"",IF(E10*F10&lt;0,C10,D10))</f>
        <v/>
      </c>
      <c r="E11" s="3">
        <f>IF(OR(J10="SI",C10=""),"",-5+B11^3-2*B11)</f>
        <v/>
      </c>
      <c r="F11" s="3">
        <f>IF(OR(J10="SI",C10=""),"",-5+C11^3-2*C11)</f>
        <v/>
      </c>
      <c r="G11" s="3">
        <f>IF(OR(J10="SI",C10=""),"",-5+D11^3-2*D11)</f>
        <v/>
      </c>
      <c r="H11" s="3">
        <f>IF(OR(J10="SI",C10=""),"",E11*F11)</f>
        <v/>
      </c>
      <c r="I11" s="3">
        <f>IF(OR(J10="SI",C10=""),"",ABS((C11-C10)/C11)*100)</f>
        <v/>
      </c>
      <c r="J11" s="3">
        <f>IF(OR(J10="SI",C10=""),"",IF(I11&lt;0.00001,"SI","NO"))</f>
        <v/>
      </c>
    </row>
    <row r="12" ht="15" customHeight="1">
      <c r="A12" s="2" t="n">
        <v>10</v>
      </c>
      <c r="B12" s="2">
        <f>IF(OR(J11="SI",C11=""),"",IF(E11*F11&lt;0,B11,C11))</f>
        <v/>
      </c>
      <c r="C12" s="2">
        <f>IF(OR(J11="SI",C11=""),"",(B12+D12)/2)</f>
        <v/>
      </c>
      <c r="D12" s="2">
        <f>IF(OR(J11="SI",C11=""),"",IF(E11*F11&lt;0,C11,D11))</f>
        <v/>
      </c>
      <c r="E12" s="2">
        <f>IF(OR(J11="SI",C11=""),"",-5+B12^3-2*B12)</f>
        <v/>
      </c>
      <c r="F12" s="2">
        <f>IF(OR(J11="SI",C11=""),"",-5+C12^3-2*C12)</f>
        <v/>
      </c>
      <c r="G12" s="2">
        <f>IF(OR(J11="SI",C11=""),"",-5+D12^3-2*D12)</f>
        <v/>
      </c>
      <c r="H12" s="2">
        <f>IF(OR(J11="SI",C11=""),"",E12*F12)</f>
        <v/>
      </c>
      <c r="I12" s="2">
        <f>IF(OR(J11="SI",C11=""),"",ABS((C12-C11)/C12)*100)</f>
        <v/>
      </c>
      <c r="J12" s="2">
        <f>IF(OR(J11="SI",C11=""),"",IF(I12&lt;0.00001,"SI","NO"))</f>
        <v/>
      </c>
    </row>
    <row r="13" ht="15" customHeight="1">
      <c r="A13" s="3" t="n">
        <v>11</v>
      </c>
      <c r="B13" s="3">
        <f>IF(OR(J12="SI",C12=""),"",IF(E12*F12&lt;0,B12,C12))</f>
        <v/>
      </c>
      <c r="C13" s="3">
        <f>IF(OR(J12="SI",C12=""),"",(B13+D13)/2)</f>
        <v/>
      </c>
      <c r="D13" s="3">
        <f>IF(OR(J12="SI",C12=""),"",IF(E12*F12&lt;0,C12,D12))</f>
        <v/>
      </c>
      <c r="E13" s="3">
        <f>IF(OR(J12="SI",C12=""),"",-5+B13^3-2*B13)</f>
        <v/>
      </c>
      <c r="F13" s="3">
        <f>IF(OR(J12="SI",C12=""),"",-5+C13^3-2*C13)</f>
        <v/>
      </c>
      <c r="G13" s="3">
        <f>IF(OR(J12="SI",C12=""),"",-5+D13^3-2*D13)</f>
        <v/>
      </c>
      <c r="H13" s="3">
        <f>IF(OR(J12="SI",C12=""),"",E13*F13)</f>
        <v/>
      </c>
      <c r="I13" s="3">
        <f>IF(OR(J12="SI",C12=""),"",ABS((C13-C12)/C13)*100)</f>
        <v/>
      </c>
      <c r="J13" s="3">
        <f>IF(OR(J12="SI",C12=""),"",IF(I13&lt;0.00001,"SI","NO"))</f>
        <v/>
      </c>
    </row>
    <row r="14" ht="15" customHeight="1">
      <c r="A14" s="2" t="n">
        <v>12</v>
      </c>
      <c r="B14" s="2">
        <f>IF(OR(J13="SI",C13=""),"",IF(E13*F13&lt;0,B13,C13))</f>
        <v/>
      </c>
      <c r="C14" s="2">
        <f>IF(OR(J13="SI",C13=""),"",(B14+D14)/2)</f>
        <v/>
      </c>
      <c r="D14" s="2">
        <f>IF(OR(J13="SI",C13=""),"",IF(E13*F13&lt;0,C13,D13))</f>
        <v/>
      </c>
      <c r="E14" s="2">
        <f>IF(OR(J13="SI",C13=""),"",-5+B14^3-2*B14)</f>
        <v/>
      </c>
      <c r="F14" s="2">
        <f>IF(OR(J13="SI",C13=""),"",-5+C14^3-2*C14)</f>
        <v/>
      </c>
      <c r="G14" s="2">
        <f>IF(OR(J13="SI",C13=""),"",-5+D14^3-2*D14)</f>
        <v/>
      </c>
      <c r="H14" s="2">
        <f>IF(OR(J13="SI",C13=""),"",E14*F14)</f>
        <v/>
      </c>
      <c r="I14" s="2">
        <f>IF(OR(J13="SI",C13=""),"",ABS((C14-C13)/C14)*100)</f>
        <v/>
      </c>
      <c r="J14" s="2">
        <f>IF(OR(J13="SI",C13=""),"",IF(I14&lt;0.00001,"SI","NO"))</f>
        <v/>
      </c>
    </row>
    <row r="15" ht="15" customHeight="1">
      <c r="A15" s="3" t="n">
        <v>13</v>
      </c>
      <c r="B15" s="3">
        <f>IF(OR(J14="SI",C14=""),"",IF(E14*F14&lt;0,B14,C14))</f>
        <v/>
      </c>
      <c r="C15" s="3">
        <f>IF(OR(J14="SI",C14=""),"",(B15+D15)/2)</f>
        <v/>
      </c>
      <c r="D15" s="3">
        <f>IF(OR(J14="SI",C14=""),"",IF(E14*F14&lt;0,C14,D14))</f>
        <v/>
      </c>
      <c r="E15" s="3">
        <f>IF(OR(J14="SI",C14=""),"",-5+B15^3-2*B15)</f>
        <v/>
      </c>
      <c r="F15" s="3">
        <f>IF(OR(J14="SI",C14=""),"",-5+C15^3-2*C15)</f>
        <v/>
      </c>
      <c r="G15" s="3">
        <f>IF(OR(J14="SI",C14=""),"",-5+D15^3-2*D15)</f>
        <v/>
      </c>
      <c r="H15" s="3">
        <f>IF(OR(J14="SI",C14=""),"",E15*F15)</f>
        <v/>
      </c>
      <c r="I15" s="3">
        <f>IF(OR(J14="SI",C14=""),"",ABS((C15-C14)/C15)*100)</f>
        <v/>
      </c>
      <c r="J15" s="3">
        <f>IF(OR(J14="SI",C14=""),"",IF(I15&lt;0.00001,"SI","NO"))</f>
        <v/>
      </c>
    </row>
    <row r="16" ht="15" customHeight="1">
      <c r="A16" s="2" t="n">
        <v>14</v>
      </c>
      <c r="B16" s="2">
        <f>IF(OR(J15="SI",C15=""),"",IF(E15*F15&lt;0,B15,C15))</f>
        <v/>
      </c>
      <c r="C16" s="2">
        <f>IF(OR(J15="SI",C15=""),"",(B16+D16)/2)</f>
        <v/>
      </c>
      <c r="D16" s="2">
        <f>IF(OR(J15="SI",C15=""),"",IF(E15*F15&lt;0,C15,D15))</f>
        <v/>
      </c>
      <c r="E16" s="2">
        <f>IF(OR(J15="SI",C15=""),"",-5+B16^3-2*B16)</f>
        <v/>
      </c>
      <c r="F16" s="2">
        <f>IF(OR(J15="SI",C15=""),"",-5+C16^3-2*C16)</f>
        <v/>
      </c>
      <c r="G16" s="2">
        <f>IF(OR(J15="SI",C15=""),"",-5+D16^3-2*D16)</f>
        <v/>
      </c>
      <c r="H16" s="2">
        <f>IF(OR(J15="SI",C15=""),"",E16*F16)</f>
        <v/>
      </c>
      <c r="I16" s="2">
        <f>IF(OR(J15="SI",C15=""),"",ABS((C16-C15)/C16)*100)</f>
        <v/>
      </c>
      <c r="J16" s="2">
        <f>IF(OR(J15="SI",C15=""),"",IF(I16&lt;0.00001,"SI","NO"))</f>
        <v/>
      </c>
    </row>
    <row r="17" ht="15" customHeight="1">
      <c r="A17" s="3" t="n">
        <v>15</v>
      </c>
      <c r="B17" s="3">
        <f>IF(OR(J16="SI",C16=""),"",IF(E16*F16&lt;0,B16,C16))</f>
        <v/>
      </c>
      <c r="C17" s="3">
        <f>IF(OR(J16="SI",C16=""),"",(B17+D17)/2)</f>
        <v/>
      </c>
      <c r="D17" s="3">
        <f>IF(OR(J16="SI",C16=""),"",IF(E16*F16&lt;0,C16,D16))</f>
        <v/>
      </c>
      <c r="E17" s="3">
        <f>IF(OR(J16="SI",C16=""),"",-5+B17^3-2*B17)</f>
        <v/>
      </c>
      <c r="F17" s="3">
        <f>IF(OR(J16="SI",C16=""),"",-5+C17^3-2*C17)</f>
        <v/>
      </c>
      <c r="G17" s="3">
        <f>IF(OR(J16="SI",C16=""),"",-5+D17^3-2*D17)</f>
        <v/>
      </c>
      <c r="H17" s="3">
        <f>IF(OR(J16="SI",C16=""),"",E17*F17)</f>
        <v/>
      </c>
      <c r="I17" s="3">
        <f>IF(OR(J16="SI",C16=""),"",ABS((C17-C16)/C17)*100)</f>
        <v/>
      </c>
      <c r="J17" s="3">
        <f>IF(OR(J16="SI",C16=""),"",IF(I17&lt;0.00001,"SI","NO"))</f>
        <v/>
      </c>
    </row>
    <row r="18" ht="15" customHeight="1">
      <c r="A18" s="2" t="n">
        <v>16</v>
      </c>
      <c r="B18" s="2">
        <f>IF(OR(J17="SI",C17=""),"",IF(E17*F17&lt;0,B17,C17))</f>
        <v/>
      </c>
      <c r="C18" s="2">
        <f>IF(OR(J17="SI",C17=""),"",(B18+D18)/2)</f>
        <v/>
      </c>
      <c r="D18" s="2">
        <f>IF(OR(J17="SI",C17=""),"",IF(E17*F17&lt;0,C17,D17))</f>
        <v/>
      </c>
      <c r="E18" s="2">
        <f>IF(OR(J17="SI",C17=""),"",-5+B18^3-2*B18)</f>
        <v/>
      </c>
      <c r="F18" s="2">
        <f>IF(OR(J17="SI",C17=""),"",-5+C18^3-2*C18)</f>
        <v/>
      </c>
      <c r="G18" s="2">
        <f>IF(OR(J17="SI",C17=""),"",-5+D18^3-2*D18)</f>
        <v/>
      </c>
      <c r="H18" s="2">
        <f>IF(OR(J17="SI",C17=""),"",E18*F18)</f>
        <v/>
      </c>
      <c r="I18" s="2">
        <f>IF(OR(J17="SI",C17=""),"",ABS((C18-C17)/C18)*100)</f>
        <v/>
      </c>
      <c r="J18" s="2">
        <f>IF(OR(J17="SI",C17=""),"",IF(I18&lt;0.00001,"SI","NO"))</f>
        <v/>
      </c>
    </row>
    <row r="19" ht="15" customHeight="1">
      <c r="A19" s="3" t="n">
        <v>17</v>
      </c>
      <c r="B19" s="3">
        <f>IF(OR(J18="SI",C18=""),"",IF(E18*F18&lt;0,B18,C18))</f>
        <v/>
      </c>
      <c r="C19" s="3">
        <f>IF(OR(J18="SI",C18=""),"",(B19+D19)/2)</f>
        <v/>
      </c>
      <c r="D19" s="3">
        <f>IF(OR(J18="SI",C18=""),"",IF(E18*F18&lt;0,C18,D18))</f>
        <v/>
      </c>
      <c r="E19" s="3">
        <f>IF(OR(J18="SI",C18=""),"",-5+B19^3-2*B19)</f>
        <v/>
      </c>
      <c r="F19" s="3">
        <f>IF(OR(J18="SI",C18=""),"",-5+C19^3-2*C19)</f>
        <v/>
      </c>
      <c r="G19" s="3">
        <f>IF(OR(J18="SI",C18=""),"",-5+D19^3-2*D19)</f>
        <v/>
      </c>
      <c r="H19" s="3">
        <f>IF(OR(J18="SI",C18=""),"",E19*F19)</f>
        <v/>
      </c>
      <c r="I19" s="3">
        <f>IF(OR(J18="SI",C18=""),"",ABS((C19-C18)/C19)*100)</f>
        <v/>
      </c>
      <c r="J19" s="3">
        <f>IF(OR(J18="SI",C18=""),"",IF(I19&lt;0.00001,"SI","NO"))</f>
        <v/>
      </c>
    </row>
    <row r="20" ht="15" customHeight="1">
      <c r="A20" s="2" t="n">
        <v>18</v>
      </c>
      <c r="B20" s="2">
        <f>IF(OR(J19="SI",C19=""),"",IF(E19*F19&lt;0,B19,C19))</f>
        <v/>
      </c>
      <c r="C20" s="2">
        <f>IF(OR(J19="SI",C19=""),"",(B20+D20)/2)</f>
        <v/>
      </c>
      <c r="D20" s="2">
        <f>IF(OR(J19="SI",C19=""),"",IF(E19*F19&lt;0,C19,D19))</f>
        <v/>
      </c>
      <c r="E20" s="2">
        <f>IF(OR(J19="SI",C19=""),"",-5+B20^3-2*B20)</f>
        <v/>
      </c>
      <c r="F20" s="2">
        <f>IF(OR(J19="SI",C19=""),"",-5+C20^3-2*C20)</f>
        <v/>
      </c>
      <c r="G20" s="2">
        <f>IF(OR(J19="SI",C19=""),"",-5+D20^3-2*D20)</f>
        <v/>
      </c>
      <c r="H20" s="2">
        <f>IF(OR(J19="SI",C19=""),"",E20*F20)</f>
        <v/>
      </c>
      <c r="I20" s="2">
        <f>IF(OR(J19="SI",C19=""),"",ABS((C20-C19)/C20)*100)</f>
        <v/>
      </c>
      <c r="J20" s="2">
        <f>IF(OR(J19="SI",C19=""),"",IF(I20&lt;0.00001,"SI","NO"))</f>
        <v/>
      </c>
    </row>
    <row r="21" ht="15" customHeight="1">
      <c r="A21" s="3" t="n">
        <v>19</v>
      </c>
      <c r="B21" s="3">
        <f>IF(OR(J20="SI",C20=""),"",IF(E20*F20&lt;0,B20,C20))</f>
        <v/>
      </c>
      <c r="C21" s="3">
        <f>IF(OR(J20="SI",C20=""),"",(B21+D21)/2)</f>
        <v/>
      </c>
      <c r="D21" s="3">
        <f>IF(OR(J20="SI",C20=""),"",IF(E20*F20&lt;0,C20,D20))</f>
        <v/>
      </c>
      <c r="E21" s="3">
        <f>IF(OR(J20="SI",C20=""),"",-5+B21^3-2*B21)</f>
        <v/>
      </c>
      <c r="F21" s="3">
        <f>IF(OR(J20="SI",C20=""),"",-5+C21^3-2*C21)</f>
        <v/>
      </c>
      <c r="G21" s="3">
        <f>IF(OR(J20="SI",C20=""),"",-5+D21^3-2*D21)</f>
        <v/>
      </c>
      <c r="H21" s="3">
        <f>IF(OR(J20="SI",C20=""),"",E21*F21)</f>
        <v/>
      </c>
      <c r="I21" s="3">
        <f>IF(OR(J20="SI",C20=""),"",ABS((C21-C20)/C21)*100)</f>
        <v/>
      </c>
      <c r="J21" s="3">
        <f>IF(OR(J20="SI",C20=""),"",IF(I21&lt;0.00001,"SI","NO"))</f>
        <v/>
      </c>
    </row>
    <row r="22" ht="15" customHeight="1">
      <c r="A22" s="2" t="n">
        <v>20</v>
      </c>
      <c r="B22" s="2">
        <f>IF(OR(J21="SI",C21=""),"",IF(E21*F21&lt;0,B21,C21))</f>
        <v/>
      </c>
      <c r="C22" s="2">
        <f>IF(OR(J21="SI",C21=""),"",(B22+D22)/2)</f>
        <v/>
      </c>
      <c r="D22" s="2">
        <f>IF(OR(J21="SI",C21=""),"",IF(E21*F21&lt;0,C21,D21))</f>
        <v/>
      </c>
      <c r="E22" s="2">
        <f>IF(OR(J21="SI",C21=""),"",-5+B22^3-2*B22)</f>
        <v/>
      </c>
      <c r="F22" s="2">
        <f>IF(OR(J21="SI",C21=""),"",-5+C22^3-2*C22)</f>
        <v/>
      </c>
      <c r="G22" s="2">
        <f>IF(OR(J21="SI",C21=""),"",-5+D22^3-2*D22)</f>
        <v/>
      </c>
      <c r="H22" s="2">
        <f>IF(OR(J21="SI",C21=""),"",E22*F22)</f>
        <v/>
      </c>
      <c r="I22" s="2">
        <f>IF(OR(J21="SI",C21=""),"",ABS((C22-C21)/C22)*100)</f>
        <v/>
      </c>
      <c r="J22" s="2">
        <f>IF(OR(J21="SI",C21=""),"",IF(I22&lt;0.00001,"SI","NO"))</f>
        <v/>
      </c>
    </row>
    <row r="23" ht="15" customHeight="1">
      <c r="A23" s="3" t="n">
        <v>21</v>
      </c>
      <c r="B23" s="3">
        <f>IF(OR(J22="SI",C22=""),"",IF(E22*F22&lt;0,B22,C22))</f>
        <v/>
      </c>
      <c r="C23" s="3">
        <f>IF(OR(J22="SI",C22=""),"",(B23+D23)/2)</f>
        <v/>
      </c>
      <c r="D23" s="3">
        <f>IF(OR(J22="SI",C22=""),"",IF(E22*F22&lt;0,C22,D22))</f>
        <v/>
      </c>
      <c r="E23" s="3">
        <f>IF(OR(J22="SI",C22=""),"",-5+B23^3-2*B23)</f>
        <v/>
      </c>
      <c r="F23" s="3">
        <f>IF(OR(J22="SI",C22=""),"",-5+C23^3-2*C23)</f>
        <v/>
      </c>
      <c r="G23" s="3">
        <f>IF(OR(J22="SI",C22=""),"",-5+D23^3-2*D23)</f>
        <v/>
      </c>
      <c r="H23" s="3">
        <f>IF(OR(J22="SI",C22=""),"",E23*F23)</f>
        <v/>
      </c>
      <c r="I23" s="3">
        <f>IF(OR(J22="SI",C22=""),"",ABS((C23-C22)/C23)*100)</f>
        <v/>
      </c>
      <c r="J23" s="3">
        <f>IF(OR(J22="SI",C22=""),"",IF(I23&lt;0.00001,"SI","NO"))</f>
        <v/>
      </c>
    </row>
    <row r="24" ht="17.25" customHeight="1">
      <c r="A24" s="4" t="inlineStr">
        <is>
          <t>MÉTODO DE BISECCIÓN  —  f(x) = x³ - 2x - 5</t>
        </is>
      </c>
    </row>
    <row r="25" ht="15" customHeight="1">
      <c r="A25" s="5" t="inlineStr">
        <is>
          <t>Ecuación:</t>
        </is>
      </c>
      <c r="B25" s="6" t="inlineStr">
        <is>
          <t>f(x) = x³ - 2x - 5</t>
        </is>
      </c>
      <c r="D25" s="5" t="inlineStr">
        <is>
          <t>Intervalo inicial:</t>
        </is>
      </c>
      <c r="E25" s="6" t="inlineStr">
        <is>
          <t>[a₀, b₀] = [2, 2.5]</t>
        </is>
      </c>
      <c r="G25" s="5" t="inlineStr">
        <is>
          <t>Tolerancia:</t>
        </is>
      </c>
      <c r="H25" s="6" t="inlineStr">
        <is>
          <t>ε &lt; 1×10⁻⁵ %</t>
        </is>
      </c>
    </row>
    <row r="26" ht="15" customHeight="1">
      <c r="A26" s="5" t="inlineStr">
        <is>
          <t>f(x) =</t>
        </is>
      </c>
      <c r="B26" s="6" t="inlineStr">
        <is>
          <t>x³ - 2x - 5</t>
        </is>
      </c>
    </row>
  </sheetData>
  <mergeCells count="1"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2026-06-11T20:28:24Z</dcterms:created>
  <dcterms:modified xsi:type="dcterms:W3CDTF">2026-06-11T20:28:24Z</dcterms:modified>
</cp:coreProperties>
</file>