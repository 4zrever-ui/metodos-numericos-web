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ección" sheetId="1" state="visible" r:id="rId1"/>
    <sheet name="Regula Falsi" sheetId="2" state="visible" r:id="rId2"/>
    <sheet name="Punto Fijo" sheetId="3" state="visible" r:id="rId3"/>
    <sheet name="Aitken" sheetId="4" state="visible" r:id="rId4"/>
    <sheet name="Steffensen" sheetId="5" state="visible" r:id="rId5"/>
    <sheet name="Newton-Raphson" sheetId="6" state="visible" r:id="rId6"/>
    <sheet name="Newton Modificado" sheetId="7" state="visible" r:id="rId7"/>
    <sheet name="Newton 2do Orden" sheetId="8" state="visible" r:id="rId8"/>
    <sheet name="Chebyshev" sheetId="9" state="visible" r:id="rId9"/>
    <sheet name="Halley" sheetId="10" state="visible" r:id="rId10"/>
    <sheet name="Super Halley" sheetId="11" state="visible" r:id="rId11"/>
    <sheet name="Ostrowsky" sheetId="12" state="visible" r:id="rId12"/>
    <sheet name="Secante" sheetId="13" state="visible" r:id="rId13"/>
    <sheet name="Von Mi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color rgb="001A1A2E"/>
      <sz val="11"/>
    </font>
    <font>
      <name val="Calibri"/>
      <b val="1"/>
      <color rgb="00FFFFFF"/>
      <sz val="11"/>
    </font>
    <font>
      <name val="Calibri"/>
      <color rgb="002E86C1"/>
      <sz val="11"/>
    </font>
    <font>
      <name val="Calibri"/>
      <color rgb="00147F57"/>
      <sz val="11"/>
    </font>
    <font>
      <name val="Calibri"/>
      <color rgb="006C3483"/>
      <sz val="11"/>
    </font>
    <font>
      <name val="Calibri"/>
      <color rgb="003455DB"/>
      <sz val="11"/>
    </font>
    <font>
      <name val="Calibri"/>
      <color rgb="00922B21"/>
      <sz val="11"/>
    </font>
    <font>
      <name val="Calibri"/>
      <color rgb="000D553B"/>
      <sz val="11"/>
    </font>
    <font>
      <name val="Calibri"/>
      <color rgb="00174969"/>
      <sz val="11"/>
    </font>
    <font>
      <name val="Calibri"/>
      <color rgb="004D6A1F"/>
      <sz val="11"/>
    </font>
    <font>
      <name val="Calibri"/>
      <color rgb="007B241C"/>
      <sz val="11"/>
    </font>
    <font>
      <name val="Calibri"/>
      <color rgb="004A235A"/>
      <sz val="11"/>
    </font>
  </fonts>
  <fills count="31">
    <fill>
      <patternFill/>
    </fill>
    <fill>
      <patternFill patternType="gray125"/>
    </fill>
    <fill>
      <patternFill patternType="solid">
        <fgColor rgb="00D6EAF8"/>
        <bgColor rgb="00D6EAF8"/>
      </patternFill>
    </fill>
    <fill>
      <patternFill patternType="solid">
        <fgColor rgb="00EBF5FB"/>
        <bgColor rgb="00EBF5FB"/>
      </patternFill>
    </fill>
    <fill>
      <patternFill patternType="solid">
        <fgColor rgb="001A5276"/>
        <bgColor rgb="001A5276"/>
      </patternFill>
    </fill>
    <fill>
      <patternFill patternType="solid">
        <fgColor rgb="00D5F5E3"/>
        <bgColor rgb="00D5F5E3"/>
      </patternFill>
    </fill>
    <fill>
      <patternFill patternType="solid">
        <fgColor rgb="00EAFAF1"/>
        <bgColor rgb="00EAFAF1"/>
      </patternFill>
    </fill>
    <fill>
      <patternFill patternType="solid">
        <fgColor rgb="00147F57"/>
        <bgColor rgb="00147F57"/>
      </patternFill>
    </fill>
    <fill>
      <patternFill patternType="solid">
        <fgColor rgb="00E8DAEF"/>
        <bgColor rgb="00E8DAEF"/>
      </patternFill>
    </fill>
    <fill>
      <patternFill patternType="solid">
        <fgColor rgb="00F4EBFD"/>
        <bgColor rgb="00F4EBFD"/>
      </patternFill>
    </fill>
    <fill>
      <patternFill patternType="solid">
        <fgColor rgb="006C3483"/>
        <bgColor rgb="006C3483"/>
      </patternFill>
    </fill>
    <fill>
      <patternFill patternType="solid">
        <fgColor rgb="00D1F2EB"/>
        <bgColor rgb="00D1F2EB"/>
      </patternFill>
    </fill>
    <fill>
      <patternFill patternType="solid">
        <fgColor rgb="00E8F8F5"/>
        <bgColor rgb="00E8F8F5"/>
      </patternFill>
    </fill>
    <fill>
      <patternFill patternType="solid">
        <fgColor rgb="00D3EAFD"/>
        <bgColor rgb="00D3EAFD"/>
      </patternFill>
    </fill>
    <fill>
      <patternFill patternType="solid">
        <fgColor rgb="00D6DBFF"/>
        <bgColor rgb="00D6DBFF"/>
      </patternFill>
    </fill>
    <fill>
      <patternFill patternType="solid">
        <fgColor rgb="00EEF0FF"/>
        <bgColor rgb="00EEF0FF"/>
      </patternFill>
    </fill>
    <fill>
      <patternFill patternType="solid">
        <fgColor rgb="001F3A93"/>
        <bgColor rgb="001F3A93"/>
      </patternFill>
    </fill>
    <fill>
      <patternFill patternType="solid">
        <fgColor rgb="00E74C3C"/>
        <bgColor rgb="00E74C3C"/>
      </patternFill>
    </fill>
    <fill>
      <patternFill patternType="solid">
        <fgColor rgb="00FADBD8"/>
        <bgColor rgb="00FADBD8"/>
      </patternFill>
    </fill>
    <fill>
      <patternFill patternType="solid">
        <fgColor rgb="00FDEDEC"/>
        <bgColor rgb="00FDEDEC"/>
      </patternFill>
    </fill>
    <fill>
      <patternFill patternType="solid">
        <fgColor rgb="00922B21"/>
        <bgColor rgb="00922B21"/>
      </patternFill>
    </fill>
    <fill>
      <patternFill patternType="solid">
        <fgColor rgb="000D553B"/>
        <bgColor rgb="000D553B"/>
      </patternFill>
    </fill>
    <fill>
      <patternFill patternType="solid">
        <fgColor rgb="00D2E4F8"/>
        <bgColor rgb="00D2E4F8"/>
      </patternFill>
    </fill>
    <fill>
      <patternFill patternType="solid">
        <fgColor rgb="00174969"/>
        <bgColor rgb="00174969"/>
      </patternFill>
    </fill>
    <fill>
      <patternFill patternType="solid">
        <fgColor rgb="00E8F5D6"/>
        <bgColor rgb="00E8F5D6"/>
      </patternFill>
    </fill>
    <fill>
      <patternFill patternType="solid">
        <fgColor rgb="00F0FAE8"/>
        <bgColor rgb="00F0FAE8"/>
      </patternFill>
    </fill>
    <fill>
      <patternFill patternType="solid">
        <fgColor rgb="004D6A1F"/>
        <bgColor rgb="004D6A1F"/>
      </patternFill>
    </fill>
    <fill>
      <patternFill patternType="solid">
        <fgColor rgb="00FEF5F5"/>
        <bgColor rgb="00FEF5F5"/>
      </patternFill>
    </fill>
    <fill>
      <patternFill patternType="solid">
        <fgColor rgb="007B241C"/>
        <bgColor rgb="007B241C"/>
      </patternFill>
    </fill>
    <fill>
      <patternFill patternType="solid">
        <fgColor rgb="00F5EEF8"/>
        <bgColor rgb="00F5EEF8"/>
      </patternFill>
    </fill>
    <fill>
      <patternFill patternType="solid">
        <fgColor rgb="004A235A"/>
        <bgColor rgb="004A235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vertical="center"/>
    </xf>
    <xf numFmtId="0" fontId="1" fillId="5" borderId="1" applyAlignment="1" pivotButton="0" quotePrefix="0" xfId="0">
      <alignment vertical="center"/>
    </xf>
    <xf numFmtId="0" fontId="2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vertical="center"/>
    </xf>
    <xf numFmtId="0" fontId="1" fillId="8" borderId="1" applyAlignment="1" pivotButton="0" quotePrefix="0" xfId="0">
      <alignment vertical="center"/>
    </xf>
    <xf numFmtId="0" fontId="2" fillId="1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1" fillId="11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vertical="center"/>
    </xf>
    <xf numFmtId="0" fontId="1" fillId="11" borderId="1" applyAlignment="1" pivotButton="0" quotePrefix="0" xfId="0">
      <alignment vertical="center"/>
    </xf>
    <xf numFmtId="0" fontId="1" fillId="13" borderId="1" applyAlignment="1" pivotButton="0" quotePrefix="0" xfId="0">
      <alignment vertical="center"/>
    </xf>
    <xf numFmtId="0" fontId="1" fillId="14" borderId="1" applyAlignment="1" pivotButton="0" quotePrefix="0" xfId="0">
      <alignment horizontal="center" vertical="center" wrapText="1"/>
    </xf>
    <xf numFmtId="0" fontId="1" fillId="15" borderId="1" applyAlignment="1" pivotButton="0" quotePrefix="0" xfId="0">
      <alignment vertical="center"/>
    </xf>
    <xf numFmtId="0" fontId="1" fillId="14" borderId="1" applyAlignment="1" pivotButton="0" quotePrefix="0" xfId="0">
      <alignment vertical="center"/>
    </xf>
    <xf numFmtId="0" fontId="2" fillId="1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0" fontId="1" fillId="17" borderId="1" applyAlignment="1" pivotButton="0" quotePrefix="0" xfId="0">
      <alignment horizontal="center" vertical="center" wrapText="1"/>
    </xf>
    <xf numFmtId="0" fontId="1" fillId="18" borderId="1" applyAlignment="1" pivotButton="0" quotePrefix="0" xfId="0">
      <alignment vertical="center"/>
    </xf>
    <xf numFmtId="0" fontId="1" fillId="19" borderId="1" applyAlignment="1" pivotButton="0" quotePrefix="0" xfId="0">
      <alignment vertical="center"/>
    </xf>
    <xf numFmtId="0" fontId="2" fillId="2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/>
    </xf>
    <xf numFmtId="0" fontId="2" fillId="21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/>
    </xf>
    <xf numFmtId="0" fontId="1" fillId="22" borderId="1" applyAlignment="1" pivotButton="0" quotePrefix="0" xfId="0">
      <alignment horizontal="center" vertical="center" wrapText="1"/>
    </xf>
    <xf numFmtId="0" fontId="1" fillId="22" borderId="1" applyAlignment="1" pivotButton="0" quotePrefix="0" xfId="0">
      <alignment vertical="center"/>
    </xf>
    <xf numFmtId="0" fontId="2" fillId="2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/>
    </xf>
    <xf numFmtId="0" fontId="1" fillId="24" borderId="1" applyAlignment="1" pivotButton="0" quotePrefix="0" xfId="0">
      <alignment horizontal="center" vertical="center" wrapText="1"/>
    </xf>
    <xf numFmtId="0" fontId="1" fillId="25" borderId="1" applyAlignment="1" pivotButton="0" quotePrefix="0" xfId="0">
      <alignment vertical="center"/>
    </xf>
    <xf numFmtId="0" fontId="1" fillId="24" borderId="1" applyAlignment="1" pivotButton="0" quotePrefix="0" xfId="0">
      <alignment vertical="center"/>
    </xf>
    <xf numFmtId="0" fontId="2" fillId="26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" fillId="18" borderId="1" applyAlignment="1" pivotButton="0" quotePrefix="0" xfId="0">
      <alignment horizontal="center" vertical="center" wrapText="1"/>
    </xf>
    <xf numFmtId="0" fontId="1" fillId="27" borderId="1" applyAlignment="1" pivotButton="0" quotePrefix="0" xfId="0">
      <alignment vertical="center"/>
    </xf>
    <xf numFmtId="0" fontId="2" fillId="28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/>
    </xf>
    <xf numFmtId="0" fontId="1" fillId="29" borderId="1" applyAlignment="1" pivotButton="0" quotePrefix="0" xfId="0">
      <alignment vertical="center"/>
    </xf>
    <xf numFmtId="0" fontId="2" fillId="3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4" customWidth="1" min="10" max="10"/>
  </cols>
  <sheetData>
    <row r="1" ht="17.25" customHeight="1">
      <c r="A1" s="1" t="inlineStr">
        <is>
          <t>k</t>
        </is>
      </c>
      <c r="B1" s="1" t="inlineStr">
        <is>
          <t>a</t>
        </is>
      </c>
      <c r="C1" s="1" t="inlineStr">
        <is>
          <t>c=(a+b)/2</t>
        </is>
      </c>
      <c r="D1" s="1" t="inlineStr">
        <is>
          <t>b</t>
        </is>
      </c>
      <c r="E1" s="1" t="inlineStr">
        <is>
          <t>f(a)</t>
        </is>
      </c>
      <c r="F1" s="1" t="inlineStr">
        <is>
          <t>f(c)</t>
        </is>
      </c>
      <c r="G1" s="1" t="inlineStr">
        <is>
          <t>f(b)</t>
        </is>
      </c>
      <c r="H1" s="1" t="inlineStr">
        <is>
          <t>f(a)·f(c)</t>
        </is>
      </c>
      <c r="I1" s="1" t="inlineStr">
        <is>
          <t>Error %</t>
        </is>
      </c>
      <c r="J1" s="1" t="inlineStr">
        <is>
          <t>Convergencia</t>
        </is>
      </c>
    </row>
    <row r="2" ht="15" customHeight="1">
      <c r="A2" s="2" t="n">
        <v>0</v>
      </c>
      <c r="B2" s="2" t="n">
        <v>2</v>
      </c>
      <c r="C2" s="2">
        <f>(B2+D2)/2</f>
        <v/>
      </c>
      <c r="D2" s="2" t="n">
        <v>2.5</v>
      </c>
      <c r="E2" s="2">
        <f>-5+B2^3-2*B2</f>
        <v/>
      </c>
      <c r="F2" s="2">
        <f>-5+C2^3-2*C2</f>
        <v/>
      </c>
      <c r="G2" s="2">
        <f>-5+D2^3-2*D2</f>
        <v/>
      </c>
      <c r="H2" s="2">
        <f>E2*F2</f>
        <v/>
      </c>
      <c r="I2" s="2" t="inlineStr"/>
      <c r="J2" s="2" t="inlineStr"/>
    </row>
    <row r="3" ht="15" customHeight="1">
      <c r="A3" s="3" t="n">
        <v>1</v>
      </c>
      <c r="B3" s="3">
        <f>IF(J2="SI","",IF(E2*F2&lt;0,B2,C2))</f>
        <v/>
      </c>
      <c r="C3" s="3">
        <f>IF(J2="SI","",(B3+D3)/2)</f>
        <v/>
      </c>
      <c r="D3" s="3">
        <f>IF(J2="SI","",IF(E2*F2&lt;0,C2,D2))</f>
        <v/>
      </c>
      <c r="E3" s="3">
        <f>IF(J2="SI","",-5+B3^3-2*B3)</f>
        <v/>
      </c>
      <c r="F3" s="3">
        <f>IF(J2="SI","",-5+C3^3-2*C3)</f>
        <v/>
      </c>
      <c r="G3" s="3">
        <f>IF(J2="SI","",-5+D3^3-2*D3)</f>
        <v/>
      </c>
      <c r="H3" s="3">
        <f>IF(J2="SI","",E3*F3)</f>
        <v/>
      </c>
      <c r="I3" s="3">
        <f>IF(J2="SI","",ABS((C3-C2)/C3)*100)</f>
        <v/>
      </c>
      <c r="J3" s="3">
        <f>IF(J2="SI","",IF(I3&lt;0.00001,"SI","NO"))</f>
        <v/>
      </c>
    </row>
    <row r="4" ht="15" customHeight="1">
      <c r="A4" s="2" t="n">
        <v>2</v>
      </c>
      <c r="B4" s="2">
        <f>IF(OR(J3="SI",C3=""),"",IF(E3*F3&lt;0,B3,C3))</f>
        <v/>
      </c>
      <c r="C4" s="2">
        <f>IF(OR(J3="SI",C3=""),"",(B4+D4)/2)</f>
        <v/>
      </c>
      <c r="D4" s="2">
        <f>IF(OR(J3="SI",C3=""),"",IF(E3*F3&lt;0,C3,D3))</f>
        <v/>
      </c>
      <c r="E4" s="2">
        <f>IF(OR(J3="SI",C3=""),"",-5+B4^3-2*B4)</f>
        <v/>
      </c>
      <c r="F4" s="2">
        <f>IF(OR(J3="SI",C3=""),"",-5+C4^3-2*C4)</f>
        <v/>
      </c>
      <c r="G4" s="2">
        <f>IF(OR(J3="SI",C3=""),"",-5+D4^3-2*D4)</f>
        <v/>
      </c>
      <c r="H4" s="2">
        <f>IF(OR(J3="SI",C3=""),"",E4*F4)</f>
        <v/>
      </c>
      <c r="I4" s="2">
        <f>IF(OR(J3="SI",C3=""),"",ABS((C4-C3)/C4)*100)</f>
        <v/>
      </c>
      <c r="J4" s="2">
        <f>IF(OR(J3="SI",C3=""),"",IF(I4&lt;0.00001,"SI","NO"))</f>
        <v/>
      </c>
    </row>
    <row r="5" ht="15" customHeight="1">
      <c r="A5" s="3" t="n">
        <v>3</v>
      </c>
      <c r="B5" s="3">
        <f>IF(OR(J4="SI",C4=""),"",IF(E4*F4&lt;0,B4,C4))</f>
        <v/>
      </c>
      <c r="C5" s="3">
        <f>IF(OR(J4="SI",C4=""),"",(B5+D5)/2)</f>
        <v/>
      </c>
      <c r="D5" s="3">
        <f>IF(OR(J4="SI",C4=""),"",IF(E4*F4&lt;0,C4,D4))</f>
        <v/>
      </c>
      <c r="E5" s="3">
        <f>IF(OR(J4="SI",C4=""),"",-5+B5^3-2*B5)</f>
        <v/>
      </c>
      <c r="F5" s="3">
        <f>IF(OR(J4="SI",C4=""),"",-5+C5^3-2*C5)</f>
        <v/>
      </c>
      <c r="G5" s="3">
        <f>IF(OR(J4="SI",C4=""),"",-5+D5^3-2*D5)</f>
        <v/>
      </c>
      <c r="H5" s="3">
        <f>IF(OR(J4="SI",C4=""),"",E5*F5)</f>
        <v/>
      </c>
      <c r="I5" s="3">
        <f>IF(OR(J4="SI",C4=""),"",ABS((C5-C4)/C5)*100)</f>
        <v/>
      </c>
      <c r="J5" s="3">
        <f>IF(OR(J4="SI",C4=""),"",IF(I5&lt;0.00001,"SI","NO"))</f>
        <v/>
      </c>
    </row>
    <row r="6" ht="15" customHeight="1">
      <c r="A6" s="2" t="n">
        <v>4</v>
      </c>
      <c r="B6" s="2">
        <f>IF(OR(J5="SI",C5=""),"",IF(E5*F5&lt;0,B5,C5))</f>
        <v/>
      </c>
      <c r="C6" s="2">
        <f>IF(OR(J5="SI",C5=""),"",(B6+D6)/2)</f>
        <v/>
      </c>
      <c r="D6" s="2">
        <f>IF(OR(J5="SI",C5=""),"",IF(E5*F5&lt;0,C5,D5))</f>
        <v/>
      </c>
      <c r="E6" s="2">
        <f>IF(OR(J5="SI",C5=""),"",-5+B6^3-2*B6)</f>
        <v/>
      </c>
      <c r="F6" s="2">
        <f>IF(OR(J5="SI",C5=""),"",-5+C6^3-2*C6)</f>
        <v/>
      </c>
      <c r="G6" s="2">
        <f>IF(OR(J5="SI",C5=""),"",-5+D6^3-2*D6)</f>
        <v/>
      </c>
      <c r="H6" s="2">
        <f>IF(OR(J5="SI",C5=""),"",E6*F6)</f>
        <v/>
      </c>
      <c r="I6" s="2">
        <f>IF(OR(J5="SI",C5=""),"",ABS((C6-C5)/C6)*100)</f>
        <v/>
      </c>
      <c r="J6" s="2">
        <f>IF(OR(J5="SI",C5=""),"",IF(I6&lt;0.00001,"SI","NO"))</f>
        <v/>
      </c>
    </row>
    <row r="7" ht="15" customHeight="1">
      <c r="A7" s="3" t="n">
        <v>5</v>
      </c>
      <c r="B7" s="3">
        <f>IF(OR(J6="SI",C6=""),"",IF(E6*F6&lt;0,B6,C6))</f>
        <v/>
      </c>
      <c r="C7" s="3">
        <f>IF(OR(J6="SI",C6=""),"",(B7+D7)/2)</f>
        <v/>
      </c>
      <c r="D7" s="3">
        <f>IF(OR(J6="SI",C6=""),"",IF(E6*F6&lt;0,C6,D6))</f>
        <v/>
      </c>
      <c r="E7" s="3">
        <f>IF(OR(J6="SI",C6=""),"",-5+B7^3-2*B7)</f>
        <v/>
      </c>
      <c r="F7" s="3">
        <f>IF(OR(J6="SI",C6=""),"",-5+C7^3-2*C7)</f>
        <v/>
      </c>
      <c r="G7" s="3">
        <f>IF(OR(J6="SI",C6=""),"",-5+D7^3-2*D7)</f>
        <v/>
      </c>
      <c r="H7" s="3">
        <f>IF(OR(J6="SI",C6=""),"",E7*F7)</f>
        <v/>
      </c>
      <c r="I7" s="3">
        <f>IF(OR(J6="SI",C6=""),"",ABS((C7-C6)/C7)*100)</f>
        <v/>
      </c>
      <c r="J7" s="3">
        <f>IF(OR(J6="SI",C6=""),"",IF(I7&lt;0.00001,"SI","NO"))</f>
        <v/>
      </c>
    </row>
    <row r="8" ht="15" customHeight="1">
      <c r="A8" s="2" t="n">
        <v>6</v>
      </c>
      <c r="B8" s="2">
        <f>IF(OR(J7="SI",C7=""),"",IF(E7*F7&lt;0,B7,C7))</f>
        <v/>
      </c>
      <c r="C8" s="2">
        <f>IF(OR(J7="SI",C7=""),"",(B8+D8)/2)</f>
        <v/>
      </c>
      <c r="D8" s="2">
        <f>IF(OR(J7="SI",C7=""),"",IF(E7*F7&lt;0,C7,D7))</f>
        <v/>
      </c>
      <c r="E8" s="2">
        <f>IF(OR(J7="SI",C7=""),"",-5+B8^3-2*B8)</f>
        <v/>
      </c>
      <c r="F8" s="2">
        <f>IF(OR(J7="SI",C7=""),"",-5+C8^3-2*C8)</f>
        <v/>
      </c>
      <c r="G8" s="2">
        <f>IF(OR(J7="SI",C7=""),"",-5+D8^3-2*D8)</f>
        <v/>
      </c>
      <c r="H8" s="2">
        <f>IF(OR(J7="SI",C7=""),"",E8*F8)</f>
        <v/>
      </c>
      <c r="I8" s="2">
        <f>IF(OR(J7="SI",C7=""),"",ABS((C8-C7)/C8)*100)</f>
        <v/>
      </c>
      <c r="J8" s="2">
        <f>IF(OR(J7="SI",C7=""),"",IF(I8&lt;0.00001,"SI","NO"))</f>
        <v/>
      </c>
    </row>
    <row r="9" ht="15" customHeight="1">
      <c r="A9" s="3" t="n">
        <v>7</v>
      </c>
      <c r="B9" s="3">
        <f>IF(OR(J8="SI",C8=""),"",IF(E8*F8&lt;0,B8,C8))</f>
        <v/>
      </c>
      <c r="C9" s="3">
        <f>IF(OR(J8="SI",C8=""),"",(B9+D9)/2)</f>
        <v/>
      </c>
      <c r="D9" s="3">
        <f>IF(OR(J8="SI",C8=""),"",IF(E8*F8&lt;0,C8,D8))</f>
        <v/>
      </c>
      <c r="E9" s="3">
        <f>IF(OR(J8="SI",C8=""),"",-5+B9^3-2*B9)</f>
        <v/>
      </c>
      <c r="F9" s="3">
        <f>IF(OR(J8="SI",C8=""),"",-5+C9^3-2*C9)</f>
        <v/>
      </c>
      <c r="G9" s="3">
        <f>IF(OR(J8="SI",C8=""),"",-5+D9^3-2*D9)</f>
        <v/>
      </c>
      <c r="H9" s="3">
        <f>IF(OR(J8="SI",C8=""),"",E9*F9)</f>
        <v/>
      </c>
      <c r="I9" s="3">
        <f>IF(OR(J8="SI",C8=""),"",ABS((C9-C8)/C9)*100)</f>
        <v/>
      </c>
      <c r="J9" s="3">
        <f>IF(OR(J8="SI",C8=""),"",IF(I9&lt;0.00001,"SI","NO"))</f>
        <v/>
      </c>
    </row>
    <row r="10" ht="15" customHeight="1">
      <c r="A10" s="2" t="n">
        <v>8</v>
      </c>
      <c r="B10" s="2">
        <f>IF(OR(J9="SI",C9=""),"",IF(E9*F9&lt;0,B9,C9))</f>
        <v/>
      </c>
      <c r="C10" s="2">
        <f>IF(OR(J9="SI",C9=""),"",(B10+D10)/2)</f>
        <v/>
      </c>
      <c r="D10" s="2">
        <f>IF(OR(J9="SI",C9=""),"",IF(E9*F9&lt;0,C9,D9))</f>
        <v/>
      </c>
      <c r="E10" s="2">
        <f>IF(OR(J9="SI",C9=""),"",-5+B10^3-2*B10)</f>
        <v/>
      </c>
      <c r="F10" s="2">
        <f>IF(OR(J9="SI",C9=""),"",-5+C10^3-2*C10)</f>
        <v/>
      </c>
      <c r="G10" s="2">
        <f>IF(OR(J9="SI",C9=""),"",-5+D10^3-2*D10)</f>
        <v/>
      </c>
      <c r="H10" s="2">
        <f>IF(OR(J9="SI",C9=""),"",E10*F10)</f>
        <v/>
      </c>
      <c r="I10" s="2">
        <f>IF(OR(J9="SI",C9=""),"",ABS((C10-C9)/C10)*100)</f>
        <v/>
      </c>
      <c r="J10" s="2">
        <f>IF(OR(J9="SI",C9=""),"",IF(I10&lt;0.00001,"SI","NO"))</f>
        <v/>
      </c>
    </row>
    <row r="11" ht="15" customHeight="1">
      <c r="A11" s="3" t="n">
        <v>9</v>
      </c>
      <c r="B11" s="3">
        <f>IF(OR(J10="SI",C10=""),"",IF(E10*F10&lt;0,B10,C10))</f>
        <v/>
      </c>
      <c r="C11" s="3">
        <f>IF(OR(J10="SI",C10=""),"",(B11+D11)/2)</f>
        <v/>
      </c>
      <c r="D11" s="3">
        <f>IF(OR(J10="SI",C10=""),"",IF(E10*F10&lt;0,C10,D10))</f>
        <v/>
      </c>
      <c r="E11" s="3">
        <f>IF(OR(J10="SI",C10=""),"",-5+B11^3-2*B11)</f>
        <v/>
      </c>
      <c r="F11" s="3">
        <f>IF(OR(J10="SI",C10=""),"",-5+C11^3-2*C11)</f>
        <v/>
      </c>
      <c r="G11" s="3">
        <f>IF(OR(J10="SI",C10=""),"",-5+D11^3-2*D11)</f>
        <v/>
      </c>
      <c r="H11" s="3">
        <f>IF(OR(J10="SI",C10=""),"",E11*F11)</f>
        <v/>
      </c>
      <c r="I11" s="3">
        <f>IF(OR(J10="SI",C10=""),"",ABS((C11-C10)/C11)*100)</f>
        <v/>
      </c>
      <c r="J11" s="3">
        <f>IF(OR(J10="SI",C10=""),"",IF(I11&lt;0.00001,"SI","NO"))</f>
        <v/>
      </c>
    </row>
    <row r="12" ht="15" customHeight="1">
      <c r="A12" s="2" t="n">
        <v>10</v>
      </c>
      <c r="B12" s="2">
        <f>IF(OR(J11="SI",C11=""),"",IF(E11*F11&lt;0,B11,C11))</f>
        <v/>
      </c>
      <c r="C12" s="2">
        <f>IF(OR(J11="SI",C11=""),"",(B12+D12)/2)</f>
        <v/>
      </c>
      <c r="D12" s="2">
        <f>IF(OR(J11="SI",C11=""),"",IF(E11*F11&lt;0,C11,D11))</f>
        <v/>
      </c>
      <c r="E12" s="2">
        <f>IF(OR(J11="SI",C11=""),"",-5+B12^3-2*B12)</f>
        <v/>
      </c>
      <c r="F12" s="2">
        <f>IF(OR(J11="SI",C11=""),"",-5+C12^3-2*C12)</f>
        <v/>
      </c>
      <c r="G12" s="2">
        <f>IF(OR(J11="SI",C11=""),"",-5+D12^3-2*D12)</f>
        <v/>
      </c>
      <c r="H12" s="2">
        <f>IF(OR(J11="SI",C11=""),"",E12*F12)</f>
        <v/>
      </c>
      <c r="I12" s="2">
        <f>IF(OR(J11="SI",C11=""),"",ABS((C12-C11)/C12)*100)</f>
        <v/>
      </c>
      <c r="J12" s="2">
        <f>IF(OR(J11="SI",C11=""),"",IF(I12&lt;0.00001,"SI","NO"))</f>
        <v/>
      </c>
    </row>
    <row r="13" ht="15" customHeight="1">
      <c r="A13" s="3" t="n">
        <v>11</v>
      </c>
      <c r="B13" s="3">
        <f>IF(OR(J12="SI",C12=""),"",IF(E12*F12&lt;0,B12,C12))</f>
        <v/>
      </c>
      <c r="C13" s="3">
        <f>IF(OR(J12="SI",C12=""),"",(B13+D13)/2)</f>
        <v/>
      </c>
      <c r="D13" s="3">
        <f>IF(OR(J12="SI",C12=""),"",IF(E12*F12&lt;0,C12,D12))</f>
        <v/>
      </c>
      <c r="E13" s="3">
        <f>IF(OR(J12="SI",C12=""),"",-5+B13^3-2*B13)</f>
        <v/>
      </c>
      <c r="F13" s="3">
        <f>IF(OR(J12="SI",C12=""),"",-5+C13^3-2*C13)</f>
        <v/>
      </c>
      <c r="G13" s="3">
        <f>IF(OR(J12="SI",C12=""),"",-5+D13^3-2*D13)</f>
        <v/>
      </c>
      <c r="H13" s="3">
        <f>IF(OR(J12="SI",C12=""),"",E13*F13)</f>
        <v/>
      </c>
      <c r="I13" s="3">
        <f>IF(OR(J12="SI",C12=""),"",ABS((C13-C12)/C13)*100)</f>
        <v/>
      </c>
      <c r="J13" s="3">
        <f>IF(OR(J12="SI",C12=""),"",IF(I13&lt;0.00001,"SI","NO"))</f>
        <v/>
      </c>
    </row>
    <row r="14" ht="15" customHeight="1">
      <c r="A14" s="2" t="n">
        <v>12</v>
      </c>
      <c r="B14" s="2">
        <f>IF(OR(J13="SI",C13=""),"",IF(E13*F13&lt;0,B13,C13))</f>
        <v/>
      </c>
      <c r="C14" s="2">
        <f>IF(OR(J13="SI",C13=""),"",(B14+D14)/2)</f>
        <v/>
      </c>
      <c r="D14" s="2">
        <f>IF(OR(J13="SI",C13=""),"",IF(E13*F13&lt;0,C13,D13))</f>
        <v/>
      </c>
      <c r="E14" s="2">
        <f>IF(OR(J13="SI",C13=""),"",-5+B14^3-2*B14)</f>
        <v/>
      </c>
      <c r="F14" s="2">
        <f>IF(OR(J13="SI",C13=""),"",-5+C14^3-2*C14)</f>
        <v/>
      </c>
      <c r="G14" s="2">
        <f>IF(OR(J13="SI",C13=""),"",-5+D14^3-2*D14)</f>
        <v/>
      </c>
      <c r="H14" s="2">
        <f>IF(OR(J13="SI",C13=""),"",E14*F14)</f>
        <v/>
      </c>
      <c r="I14" s="2">
        <f>IF(OR(J13="SI",C13=""),"",ABS((C14-C13)/C14)*100)</f>
        <v/>
      </c>
      <c r="J14" s="2">
        <f>IF(OR(J13="SI",C13=""),"",IF(I14&lt;0.00001,"SI","NO"))</f>
        <v/>
      </c>
    </row>
    <row r="15" ht="15" customHeight="1">
      <c r="A15" s="3" t="n">
        <v>13</v>
      </c>
      <c r="B15" s="3">
        <f>IF(OR(J14="SI",C14=""),"",IF(E14*F14&lt;0,B14,C14))</f>
        <v/>
      </c>
      <c r="C15" s="3">
        <f>IF(OR(J14="SI",C14=""),"",(B15+D15)/2)</f>
        <v/>
      </c>
      <c r="D15" s="3">
        <f>IF(OR(J14="SI",C14=""),"",IF(E14*F14&lt;0,C14,D14))</f>
        <v/>
      </c>
      <c r="E15" s="3">
        <f>IF(OR(J14="SI",C14=""),"",-5+B15^3-2*B15)</f>
        <v/>
      </c>
      <c r="F15" s="3">
        <f>IF(OR(J14="SI",C14=""),"",-5+C15^3-2*C15)</f>
        <v/>
      </c>
      <c r="G15" s="3">
        <f>IF(OR(J14="SI",C14=""),"",-5+D15^3-2*D15)</f>
        <v/>
      </c>
      <c r="H15" s="3">
        <f>IF(OR(J14="SI",C14=""),"",E15*F15)</f>
        <v/>
      </c>
      <c r="I15" s="3">
        <f>IF(OR(J14="SI",C14=""),"",ABS((C15-C14)/C15)*100)</f>
        <v/>
      </c>
      <c r="J15" s="3">
        <f>IF(OR(J14="SI",C14=""),"",IF(I15&lt;0.00001,"SI","NO"))</f>
        <v/>
      </c>
    </row>
    <row r="16" ht="15" customHeight="1">
      <c r="A16" s="2" t="n">
        <v>14</v>
      </c>
      <c r="B16" s="2">
        <f>IF(OR(J15="SI",C15=""),"",IF(E15*F15&lt;0,B15,C15))</f>
        <v/>
      </c>
      <c r="C16" s="2">
        <f>IF(OR(J15="SI",C15=""),"",(B16+D16)/2)</f>
        <v/>
      </c>
      <c r="D16" s="2">
        <f>IF(OR(J15="SI",C15=""),"",IF(E15*F15&lt;0,C15,D15))</f>
        <v/>
      </c>
      <c r="E16" s="2">
        <f>IF(OR(J15="SI",C15=""),"",-5+B16^3-2*B16)</f>
        <v/>
      </c>
      <c r="F16" s="2">
        <f>IF(OR(J15="SI",C15=""),"",-5+C16^3-2*C16)</f>
        <v/>
      </c>
      <c r="G16" s="2">
        <f>IF(OR(J15="SI",C15=""),"",-5+D16^3-2*D16)</f>
        <v/>
      </c>
      <c r="H16" s="2">
        <f>IF(OR(J15="SI",C15=""),"",E16*F16)</f>
        <v/>
      </c>
      <c r="I16" s="2">
        <f>IF(OR(J15="SI",C15=""),"",ABS((C16-C15)/C16)*100)</f>
        <v/>
      </c>
      <c r="J16" s="2">
        <f>IF(OR(J15="SI",C15=""),"",IF(I16&lt;0.00001,"SI","NO"))</f>
        <v/>
      </c>
    </row>
    <row r="17" ht="15" customHeight="1">
      <c r="A17" s="3" t="n">
        <v>15</v>
      </c>
      <c r="B17" s="3">
        <f>IF(OR(J16="SI",C16=""),"",IF(E16*F16&lt;0,B16,C16))</f>
        <v/>
      </c>
      <c r="C17" s="3">
        <f>IF(OR(J16="SI",C16=""),"",(B17+D17)/2)</f>
        <v/>
      </c>
      <c r="D17" s="3">
        <f>IF(OR(J16="SI",C16=""),"",IF(E16*F16&lt;0,C16,D16))</f>
        <v/>
      </c>
      <c r="E17" s="3">
        <f>IF(OR(J16="SI",C16=""),"",-5+B17^3-2*B17)</f>
        <v/>
      </c>
      <c r="F17" s="3">
        <f>IF(OR(J16="SI",C16=""),"",-5+C17^3-2*C17)</f>
        <v/>
      </c>
      <c r="G17" s="3">
        <f>IF(OR(J16="SI",C16=""),"",-5+D17^3-2*D17)</f>
        <v/>
      </c>
      <c r="H17" s="3">
        <f>IF(OR(J16="SI",C16=""),"",E17*F17)</f>
        <v/>
      </c>
      <c r="I17" s="3">
        <f>IF(OR(J16="SI",C16=""),"",ABS((C17-C16)/C17)*100)</f>
        <v/>
      </c>
      <c r="J17" s="3">
        <f>IF(OR(J16="SI",C16=""),"",IF(I17&lt;0.00001,"SI","NO"))</f>
        <v/>
      </c>
    </row>
    <row r="18" ht="15" customHeight="1">
      <c r="A18" s="2" t="n">
        <v>16</v>
      </c>
      <c r="B18" s="2">
        <f>IF(OR(J17="SI",C17=""),"",IF(E17*F17&lt;0,B17,C17))</f>
        <v/>
      </c>
      <c r="C18" s="2">
        <f>IF(OR(J17="SI",C17=""),"",(B18+D18)/2)</f>
        <v/>
      </c>
      <c r="D18" s="2">
        <f>IF(OR(J17="SI",C17=""),"",IF(E17*F17&lt;0,C17,D17))</f>
        <v/>
      </c>
      <c r="E18" s="2">
        <f>IF(OR(J17="SI",C17=""),"",-5+B18^3-2*B18)</f>
        <v/>
      </c>
      <c r="F18" s="2">
        <f>IF(OR(J17="SI",C17=""),"",-5+C18^3-2*C18)</f>
        <v/>
      </c>
      <c r="G18" s="2">
        <f>IF(OR(J17="SI",C17=""),"",-5+D18^3-2*D18)</f>
        <v/>
      </c>
      <c r="H18" s="2">
        <f>IF(OR(J17="SI",C17=""),"",E18*F18)</f>
        <v/>
      </c>
      <c r="I18" s="2">
        <f>IF(OR(J17="SI",C17=""),"",ABS((C18-C17)/C18)*100)</f>
        <v/>
      </c>
      <c r="J18" s="2">
        <f>IF(OR(J17="SI",C17=""),"",IF(I18&lt;0.00001,"SI","NO"))</f>
        <v/>
      </c>
    </row>
    <row r="19" ht="15" customHeight="1">
      <c r="A19" s="3" t="n">
        <v>17</v>
      </c>
      <c r="B19" s="3">
        <f>IF(OR(J18="SI",C18=""),"",IF(E18*F18&lt;0,B18,C18))</f>
        <v/>
      </c>
      <c r="C19" s="3">
        <f>IF(OR(J18="SI",C18=""),"",(B19+D19)/2)</f>
        <v/>
      </c>
      <c r="D19" s="3">
        <f>IF(OR(J18="SI",C18=""),"",IF(E18*F18&lt;0,C18,D18))</f>
        <v/>
      </c>
      <c r="E19" s="3">
        <f>IF(OR(J18="SI",C18=""),"",-5+B19^3-2*B19)</f>
        <v/>
      </c>
      <c r="F19" s="3">
        <f>IF(OR(J18="SI",C18=""),"",-5+C19^3-2*C19)</f>
        <v/>
      </c>
      <c r="G19" s="3">
        <f>IF(OR(J18="SI",C18=""),"",-5+D19^3-2*D19)</f>
        <v/>
      </c>
      <c r="H19" s="3">
        <f>IF(OR(J18="SI",C18=""),"",E19*F19)</f>
        <v/>
      </c>
      <c r="I19" s="3">
        <f>IF(OR(J18="SI",C18=""),"",ABS((C19-C18)/C19)*100)</f>
        <v/>
      </c>
      <c r="J19" s="3">
        <f>IF(OR(J18="SI",C18=""),"",IF(I19&lt;0.00001,"SI","NO"))</f>
        <v/>
      </c>
    </row>
    <row r="20" ht="15" customHeight="1">
      <c r="A20" s="2" t="n">
        <v>18</v>
      </c>
      <c r="B20" s="2">
        <f>IF(OR(J19="SI",C19=""),"",IF(E19*F19&lt;0,B19,C19))</f>
        <v/>
      </c>
      <c r="C20" s="2">
        <f>IF(OR(J19="SI",C19=""),"",(B20+D20)/2)</f>
        <v/>
      </c>
      <c r="D20" s="2">
        <f>IF(OR(J19="SI",C19=""),"",IF(E19*F19&lt;0,C19,D19))</f>
        <v/>
      </c>
      <c r="E20" s="2">
        <f>IF(OR(J19="SI",C19=""),"",-5+B20^3-2*B20)</f>
        <v/>
      </c>
      <c r="F20" s="2">
        <f>IF(OR(J19="SI",C19=""),"",-5+C20^3-2*C20)</f>
        <v/>
      </c>
      <c r="G20" s="2">
        <f>IF(OR(J19="SI",C19=""),"",-5+D20^3-2*D20)</f>
        <v/>
      </c>
      <c r="H20" s="2">
        <f>IF(OR(J19="SI",C19=""),"",E20*F20)</f>
        <v/>
      </c>
      <c r="I20" s="2">
        <f>IF(OR(J19="SI",C19=""),"",ABS((C20-C19)/C20)*100)</f>
        <v/>
      </c>
      <c r="J20" s="2">
        <f>IF(OR(J19="SI",C19=""),"",IF(I20&lt;0.00001,"SI","NO"))</f>
        <v/>
      </c>
    </row>
    <row r="21" ht="15" customHeight="1">
      <c r="A21" s="3" t="n">
        <v>19</v>
      </c>
      <c r="B21" s="3">
        <f>IF(OR(J20="SI",C20=""),"",IF(E20*F20&lt;0,B20,C20))</f>
        <v/>
      </c>
      <c r="C21" s="3">
        <f>IF(OR(J20="SI",C20=""),"",(B21+D21)/2)</f>
        <v/>
      </c>
      <c r="D21" s="3">
        <f>IF(OR(J20="SI",C20=""),"",IF(E20*F20&lt;0,C20,D20))</f>
        <v/>
      </c>
      <c r="E21" s="3">
        <f>IF(OR(J20="SI",C20=""),"",-5+B21^3-2*B21)</f>
        <v/>
      </c>
      <c r="F21" s="3">
        <f>IF(OR(J20="SI",C20=""),"",-5+C21^3-2*C21)</f>
        <v/>
      </c>
      <c r="G21" s="3">
        <f>IF(OR(J20="SI",C20=""),"",-5+D21^3-2*D21)</f>
        <v/>
      </c>
      <c r="H21" s="3">
        <f>IF(OR(J20="SI",C20=""),"",E21*F21)</f>
        <v/>
      </c>
      <c r="I21" s="3">
        <f>IF(OR(J20="SI",C20=""),"",ABS((C21-C20)/C21)*100)</f>
        <v/>
      </c>
      <c r="J21" s="3">
        <f>IF(OR(J20="SI",C20=""),"",IF(I21&lt;0.00001,"SI","NO"))</f>
        <v/>
      </c>
    </row>
    <row r="22" ht="15" customHeight="1">
      <c r="A22" s="2" t="n">
        <v>20</v>
      </c>
      <c r="B22" s="2">
        <f>IF(OR(J21="SI",C21=""),"",IF(E21*F21&lt;0,B21,C21))</f>
        <v/>
      </c>
      <c r="C22" s="2">
        <f>IF(OR(J21="SI",C21=""),"",(B22+D22)/2)</f>
        <v/>
      </c>
      <c r="D22" s="2">
        <f>IF(OR(J21="SI",C21=""),"",IF(E21*F21&lt;0,C21,D21))</f>
        <v/>
      </c>
      <c r="E22" s="2">
        <f>IF(OR(J21="SI",C21=""),"",-5+B22^3-2*B22)</f>
        <v/>
      </c>
      <c r="F22" s="2">
        <f>IF(OR(J21="SI",C21=""),"",-5+C22^3-2*C22)</f>
        <v/>
      </c>
      <c r="G22" s="2">
        <f>IF(OR(J21="SI",C21=""),"",-5+D22^3-2*D22)</f>
        <v/>
      </c>
      <c r="H22" s="2">
        <f>IF(OR(J21="SI",C21=""),"",E22*F22)</f>
        <v/>
      </c>
      <c r="I22" s="2">
        <f>IF(OR(J21="SI",C21=""),"",ABS((C22-C21)/C22)*100)</f>
        <v/>
      </c>
      <c r="J22" s="2">
        <f>IF(OR(J21="SI",C21=""),"",IF(I22&lt;0.00001,"SI","NO"))</f>
        <v/>
      </c>
    </row>
    <row r="23" ht="15" customHeight="1">
      <c r="A23" s="3" t="n">
        <v>21</v>
      </c>
      <c r="B23" s="3">
        <f>IF(OR(J22="SI",C22=""),"",IF(E22*F22&lt;0,B22,C22))</f>
        <v/>
      </c>
      <c r="C23" s="3">
        <f>IF(OR(J22="SI",C22=""),"",(B23+D23)/2)</f>
        <v/>
      </c>
      <c r="D23" s="3">
        <f>IF(OR(J22="SI",C22=""),"",IF(E22*F22&lt;0,C22,D22))</f>
        <v/>
      </c>
      <c r="E23" s="3">
        <f>IF(OR(J22="SI",C22=""),"",-5+B23^3-2*B23)</f>
        <v/>
      </c>
      <c r="F23" s="3">
        <f>IF(OR(J22="SI",C22=""),"",-5+C23^3-2*C23)</f>
        <v/>
      </c>
      <c r="G23" s="3">
        <f>IF(OR(J22="SI",C22=""),"",-5+D23^3-2*D23)</f>
        <v/>
      </c>
      <c r="H23" s="3">
        <f>IF(OR(J22="SI",C22=""),"",E23*F23)</f>
        <v/>
      </c>
      <c r="I23" s="3">
        <f>IF(OR(J22="SI",C22=""),"",ABS((C23-C22)/C23)*100)</f>
        <v/>
      </c>
      <c r="J23" s="3">
        <f>IF(OR(J22="SI",C22=""),"",IF(I23&lt;0.00001,"SI","NO"))</f>
        <v/>
      </c>
    </row>
    <row r="24" ht="17.25" customHeight="1">
      <c r="A24" s="4" t="inlineStr">
        <is>
          <t>MÉTODO DE BISECCIÓN  —  f(x) = x³ - 2x - 5</t>
        </is>
      </c>
    </row>
    <row r="25" ht="15" customHeight="1">
      <c r="A25" s="5" t="inlineStr">
        <is>
          <t>Ecuación:</t>
        </is>
      </c>
      <c r="B25" s="6" t="inlineStr">
        <is>
          <t>f(x) = x³ - 2x - 5</t>
        </is>
      </c>
      <c r="D25" s="5" t="inlineStr">
        <is>
          <t>Intervalo inicial:</t>
        </is>
      </c>
      <c r="E25" s="6" t="inlineStr">
        <is>
          <t>[a₀, b₀] = [2, 2.5]</t>
        </is>
      </c>
      <c r="G25" s="5" t="inlineStr">
        <is>
          <t>Tolerancia:</t>
        </is>
      </c>
      <c r="H25" s="6" t="inlineStr">
        <is>
          <t>ε &lt; 1×10⁻⁵ %</t>
        </is>
      </c>
    </row>
    <row r="26" ht="15" customHeight="1">
      <c r="A26" s="5" t="inlineStr">
        <is>
          <t>f(x) =</t>
        </is>
      </c>
      <c r="B26" s="6" t="inlineStr">
        <is>
          <t>x³ - 2x - 5</t>
        </is>
      </c>
    </row>
  </sheetData>
  <mergeCells count="1">
    <mergeCell ref="A24:J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4" customWidth="1" min="10" max="10"/>
  </cols>
  <sheetData>
    <row r="1" ht="17.25" customHeight="1">
      <c r="A1" s="7" t="inlineStr">
        <is>
          <t>k</t>
        </is>
      </c>
      <c r="B1" s="7" t="inlineStr">
        <is>
          <t>a</t>
        </is>
      </c>
      <c r="C1" s="7" t="inlineStr">
        <is>
          <t>c (R.F.)</t>
        </is>
      </c>
      <c r="D1" s="7" t="inlineStr">
        <is>
          <t>b</t>
        </is>
      </c>
      <c r="E1" s="7" t="inlineStr">
        <is>
          <t>f(a)</t>
        </is>
      </c>
      <c r="F1" s="7" t="inlineStr">
        <is>
          <t>f(c)</t>
        </is>
      </c>
      <c r="G1" s="7" t="inlineStr">
        <is>
          <t>f(b)</t>
        </is>
      </c>
      <c r="H1" s="7" t="inlineStr">
        <is>
          <t>f(a)·f(c)</t>
        </is>
      </c>
      <c r="I1" s="7" t="inlineStr">
        <is>
          <t>Error %</t>
        </is>
      </c>
      <c r="J1" s="7" t="inlineStr">
        <is>
          <t>Convergencia</t>
        </is>
      </c>
    </row>
    <row r="2" ht="15" customHeight="1">
      <c r="A2" s="8" t="n">
        <v>0</v>
      </c>
      <c r="B2" s="8" t="n">
        <v>2</v>
      </c>
      <c r="C2" s="8">
        <f>B2-(E2*(D2-B2))/(G2-E2)</f>
        <v/>
      </c>
      <c r="D2" s="8" t="n">
        <v>2.5</v>
      </c>
      <c r="E2" s="8">
        <f>-5+B2^3-2*B2</f>
        <v/>
      </c>
      <c r="F2" s="8">
        <f>-5+C2^3-2*C2</f>
        <v/>
      </c>
      <c r="G2" s="8">
        <f>-5+D2^3-2*D2</f>
        <v/>
      </c>
      <c r="H2" s="8">
        <f>E2*F2</f>
        <v/>
      </c>
      <c r="I2" s="8" t="inlineStr"/>
      <c r="J2" s="8" t="inlineStr"/>
    </row>
    <row r="3" ht="15" customHeight="1">
      <c r="A3" s="9" t="n">
        <v>1</v>
      </c>
      <c r="B3" s="9">
        <f>IF(J2="SI","",IF(E2*F2&lt;0,B2,C2))</f>
        <v/>
      </c>
      <c r="C3" s="9">
        <f>IF(J2="SI","",B3-(E3*(D3-B3))/(G3-E3))</f>
        <v/>
      </c>
      <c r="D3" s="9">
        <f>IF(J2="SI","",IF(E2*F2&lt;0,C2,D2))</f>
        <v/>
      </c>
      <c r="E3" s="9">
        <f>IF(J2="SI","",-5+B3^3-2*B3)</f>
        <v/>
      </c>
      <c r="F3" s="9">
        <f>IF(J2="SI","",-5+C3^3-2*C3)</f>
        <v/>
      </c>
      <c r="G3" s="9">
        <f>IF(J2="SI","",-5+D3^3-2*D3)</f>
        <v/>
      </c>
      <c r="H3" s="9">
        <f>IF(J2="SI","",E3*F3)</f>
        <v/>
      </c>
      <c r="I3" s="9">
        <f>IF(J2="SI","",ABS((C3-C2)/C3)*100)</f>
        <v/>
      </c>
      <c r="J3" s="9">
        <f>IF(J2="SI","",IF(I3&lt;0.00001,"SI","NO"))</f>
        <v/>
      </c>
    </row>
    <row r="4" ht="15" customHeight="1">
      <c r="A4" s="8" t="n">
        <v>2</v>
      </c>
      <c r="B4" s="8">
        <f>IF(OR(J3="SI",C3=""),"",IF(E3*F3&lt;0,B3,C3))</f>
        <v/>
      </c>
      <c r="C4" s="8">
        <f>IF(OR(J3="SI",C3=""),"",B4-(E4*(D4-B4))/(G4-E4))</f>
        <v/>
      </c>
      <c r="D4" s="8">
        <f>IF(OR(J3="SI",C3=""),"",IF(E3*F3&lt;0,C3,D3))</f>
        <v/>
      </c>
      <c r="E4" s="8">
        <f>IF(OR(J3="SI",C3=""),"",-5+B4^3-2*B4)</f>
        <v/>
      </c>
      <c r="F4" s="8">
        <f>IF(OR(J3="SI",C3=""),"",-5+C4^3-2*C4)</f>
        <v/>
      </c>
      <c r="G4" s="8">
        <f>IF(OR(J3="SI",C3=""),"",-5+D4^3-2*D4)</f>
        <v/>
      </c>
      <c r="H4" s="8">
        <f>IF(OR(J3="SI",C3=""),"",E4*F4)</f>
        <v/>
      </c>
      <c r="I4" s="8">
        <f>IF(OR(J3="SI",C3=""),"",ABS((C4-C3)/C4)*100)</f>
        <v/>
      </c>
      <c r="J4" s="8">
        <f>IF(OR(J3="SI",C3=""),"",IF(I4&lt;0.00001,"SI","NO"))</f>
        <v/>
      </c>
    </row>
    <row r="5" ht="15" customHeight="1">
      <c r="A5" s="9" t="n">
        <v>3</v>
      </c>
      <c r="B5" s="9">
        <f>IF(OR(J4="SI",C4=""),"",IF(E4*F4&lt;0,B4,C4))</f>
        <v/>
      </c>
      <c r="C5" s="9">
        <f>IF(OR(J4="SI",C4=""),"",B5-(E5*(D5-B5))/(G5-E5))</f>
        <v/>
      </c>
      <c r="D5" s="9">
        <f>IF(OR(J4="SI",C4=""),"",IF(E4*F4&lt;0,C4,D4))</f>
        <v/>
      </c>
      <c r="E5" s="9">
        <f>IF(OR(J4="SI",C4=""),"",-5+B5^3-2*B5)</f>
        <v/>
      </c>
      <c r="F5" s="9">
        <f>IF(OR(J4="SI",C4=""),"",-5+C5^3-2*C5)</f>
        <v/>
      </c>
      <c r="G5" s="9">
        <f>IF(OR(J4="SI",C4=""),"",-5+D5^3-2*D5)</f>
        <v/>
      </c>
      <c r="H5" s="9">
        <f>IF(OR(J4="SI",C4=""),"",E5*F5)</f>
        <v/>
      </c>
      <c r="I5" s="9">
        <f>IF(OR(J4="SI",C4=""),"",ABS((C5-C4)/C5)*100)</f>
        <v/>
      </c>
      <c r="J5" s="9">
        <f>IF(OR(J4="SI",C4=""),"",IF(I5&lt;0.00001,"SI","NO"))</f>
        <v/>
      </c>
    </row>
    <row r="6" ht="15" customHeight="1">
      <c r="A6" s="8" t="n">
        <v>4</v>
      </c>
      <c r="B6" s="8">
        <f>IF(OR(J5="SI",C5=""),"",IF(E5*F5&lt;0,B5,C5))</f>
        <v/>
      </c>
      <c r="C6" s="8">
        <f>IF(OR(J5="SI",C5=""),"",B6-(E6*(D6-B6))/(G6-E6))</f>
        <v/>
      </c>
      <c r="D6" s="8">
        <f>IF(OR(J5="SI",C5=""),"",IF(E5*F5&lt;0,C5,D5))</f>
        <v/>
      </c>
      <c r="E6" s="8">
        <f>IF(OR(J5="SI",C5=""),"",-5+B6^3-2*B6)</f>
        <v/>
      </c>
      <c r="F6" s="8">
        <f>IF(OR(J5="SI",C5=""),"",-5+C6^3-2*C6)</f>
        <v/>
      </c>
      <c r="G6" s="8">
        <f>IF(OR(J5="SI",C5=""),"",-5+D6^3-2*D6)</f>
        <v/>
      </c>
      <c r="H6" s="8">
        <f>IF(OR(J5="SI",C5=""),"",E6*F6)</f>
        <v/>
      </c>
      <c r="I6" s="8">
        <f>IF(OR(J5="SI",C5=""),"",ABS((C6-C5)/C6)*100)</f>
        <v/>
      </c>
      <c r="J6" s="8">
        <f>IF(OR(J5="SI",C5=""),"",IF(I6&lt;0.00001,"SI","NO"))</f>
        <v/>
      </c>
    </row>
    <row r="7" ht="15" customHeight="1">
      <c r="A7" s="9" t="n">
        <v>5</v>
      </c>
      <c r="B7" s="9">
        <f>IF(OR(J6="SI",C6=""),"",IF(E6*F6&lt;0,B6,C6))</f>
        <v/>
      </c>
      <c r="C7" s="9">
        <f>IF(OR(J6="SI",C6=""),"",B7-(E7*(D7-B7))/(G7-E7))</f>
        <v/>
      </c>
      <c r="D7" s="9">
        <f>IF(OR(J6="SI",C6=""),"",IF(E6*F6&lt;0,C6,D6))</f>
        <v/>
      </c>
      <c r="E7" s="9">
        <f>IF(OR(J6="SI",C6=""),"",-5+B7^3-2*B7)</f>
        <v/>
      </c>
      <c r="F7" s="9">
        <f>IF(OR(J6="SI",C6=""),"",-5+C7^3-2*C7)</f>
        <v/>
      </c>
      <c r="G7" s="9">
        <f>IF(OR(J6="SI",C6=""),"",-5+D7^3-2*D7)</f>
        <v/>
      </c>
      <c r="H7" s="9">
        <f>IF(OR(J6="SI",C6=""),"",E7*F7)</f>
        <v/>
      </c>
      <c r="I7" s="9">
        <f>IF(OR(J6="SI",C6=""),"",ABS((C7-C6)/C7)*100)</f>
        <v/>
      </c>
      <c r="J7" s="9">
        <f>IF(OR(J6="SI",C6=""),"",IF(I7&lt;0.00001,"SI","NO"))</f>
        <v/>
      </c>
    </row>
    <row r="8" ht="15" customHeight="1">
      <c r="A8" s="8" t="n">
        <v>6</v>
      </c>
      <c r="B8" s="8">
        <f>IF(OR(J7="SI",C7=""),"",IF(E7*F7&lt;0,B7,C7))</f>
        <v/>
      </c>
      <c r="C8" s="8">
        <f>IF(OR(J7="SI",C7=""),"",B8-(E8*(D8-B8))/(G8-E8))</f>
        <v/>
      </c>
      <c r="D8" s="8">
        <f>IF(OR(J7="SI",C7=""),"",IF(E7*F7&lt;0,C7,D7))</f>
        <v/>
      </c>
      <c r="E8" s="8">
        <f>IF(OR(J7="SI",C7=""),"",-5+B8^3-2*B8)</f>
        <v/>
      </c>
      <c r="F8" s="8">
        <f>IF(OR(J7="SI",C7=""),"",-5+C8^3-2*C8)</f>
        <v/>
      </c>
      <c r="G8" s="8">
        <f>IF(OR(J7="SI",C7=""),"",-5+D8^3-2*D8)</f>
        <v/>
      </c>
      <c r="H8" s="8">
        <f>IF(OR(J7="SI",C7=""),"",E8*F8)</f>
        <v/>
      </c>
      <c r="I8" s="8">
        <f>IF(OR(J7="SI",C7=""),"",ABS((C8-C7)/C8)*100)</f>
        <v/>
      </c>
      <c r="J8" s="8">
        <f>IF(OR(J7="SI",C7=""),"",IF(I8&lt;0.00001,"SI","NO"))</f>
        <v/>
      </c>
    </row>
    <row r="9" ht="15" customHeight="1">
      <c r="A9" s="9" t="n">
        <v>7</v>
      </c>
      <c r="B9" s="9">
        <f>IF(OR(J8="SI",C8=""),"",IF(E8*F8&lt;0,B8,C8))</f>
        <v/>
      </c>
      <c r="C9" s="9">
        <f>IF(OR(J8="SI",C8=""),"",B9-(E9*(D9-B9))/(G9-E9))</f>
        <v/>
      </c>
      <c r="D9" s="9">
        <f>IF(OR(J8="SI",C8=""),"",IF(E8*F8&lt;0,C8,D8))</f>
        <v/>
      </c>
      <c r="E9" s="9">
        <f>IF(OR(J8="SI",C8=""),"",-5+B9^3-2*B9)</f>
        <v/>
      </c>
      <c r="F9" s="9">
        <f>IF(OR(J8="SI",C8=""),"",-5+C9^3-2*C9)</f>
        <v/>
      </c>
      <c r="G9" s="9">
        <f>IF(OR(J8="SI",C8=""),"",-5+D9^3-2*D9)</f>
        <v/>
      </c>
      <c r="H9" s="9">
        <f>IF(OR(J8="SI",C8=""),"",E9*F9)</f>
        <v/>
      </c>
      <c r="I9" s="9">
        <f>IF(OR(J8="SI",C8=""),"",ABS((C9-C8)/C9)*100)</f>
        <v/>
      </c>
      <c r="J9" s="9">
        <f>IF(OR(J8="SI",C8=""),"",IF(I9&lt;0.00001,"SI","NO"))</f>
        <v/>
      </c>
    </row>
    <row r="10" ht="15" customHeight="1">
      <c r="A10" s="8" t="n">
        <v>8</v>
      </c>
      <c r="B10" s="8">
        <f>IF(OR(J9="SI",C9=""),"",IF(E9*F9&lt;0,B9,C9))</f>
        <v/>
      </c>
      <c r="C10" s="8">
        <f>IF(OR(J9="SI",C9=""),"",B10-(E10*(D10-B10))/(G10-E10))</f>
        <v/>
      </c>
      <c r="D10" s="8">
        <f>IF(OR(J9="SI",C9=""),"",IF(E9*F9&lt;0,C9,D9))</f>
        <v/>
      </c>
      <c r="E10" s="8">
        <f>IF(OR(J9="SI",C9=""),"",-5+B10^3-2*B10)</f>
        <v/>
      </c>
      <c r="F10" s="8">
        <f>IF(OR(J9="SI",C9=""),"",-5+C10^3-2*C10)</f>
        <v/>
      </c>
      <c r="G10" s="8">
        <f>IF(OR(J9="SI",C9=""),"",-5+D10^3-2*D10)</f>
        <v/>
      </c>
      <c r="H10" s="8">
        <f>IF(OR(J9="SI",C9=""),"",E10*F10)</f>
        <v/>
      </c>
      <c r="I10" s="8">
        <f>IF(OR(J9="SI",C9=""),"",ABS((C10-C9)/C10)*100)</f>
        <v/>
      </c>
      <c r="J10" s="8">
        <f>IF(OR(J9="SI",C9=""),"",IF(I10&lt;0.00001,"SI","NO"))</f>
        <v/>
      </c>
    </row>
    <row r="11" ht="17.25" customHeight="1">
      <c r="A11" s="10" t="inlineStr">
        <is>
          <t>MÉTODO DE REGULA FALSI  —  f(x) = x³ - 2x - 5</t>
        </is>
      </c>
    </row>
    <row r="12" ht="15" customHeight="1">
      <c r="A12" s="11" t="inlineStr">
        <is>
          <t>Ecuación:</t>
        </is>
      </c>
      <c r="B12" s="6" t="inlineStr">
        <is>
          <t>f(x) = x³ - 2x - 5</t>
        </is>
      </c>
      <c r="D12" s="11" t="inlineStr">
        <is>
          <t>Intervalo inicial:</t>
        </is>
      </c>
      <c r="E12" s="6" t="inlineStr">
        <is>
          <t>[a₀, b₀] = [2, 2.5]</t>
        </is>
      </c>
      <c r="G12" s="11" t="inlineStr">
        <is>
          <t>Tolerancia:</t>
        </is>
      </c>
      <c r="H12" s="6" t="inlineStr">
        <is>
          <t>ε &lt; 1×10⁻⁵ %</t>
        </is>
      </c>
    </row>
    <row r="13" ht="15" customHeight="1">
      <c r="A13" s="11" t="inlineStr">
        <is>
          <t>f(x) =</t>
        </is>
      </c>
      <c r="B13" s="6" t="inlineStr">
        <is>
          <t>x³ - 2x - 5</t>
        </is>
      </c>
    </row>
  </sheetData>
  <mergeCells count="1">
    <mergeCell ref="A11:J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14" customWidth="1" min="5" max="5"/>
  </cols>
  <sheetData>
    <row r="1" ht="17.25" customHeight="1">
      <c r="A1" s="12" t="inlineStr">
        <is>
          <t>k</t>
        </is>
      </c>
      <c r="B1" s="12" t="inlineStr">
        <is>
          <t>xₖ</t>
        </is>
      </c>
      <c r="C1" s="12" t="inlineStr">
        <is>
          <t>g(xₖ)</t>
        </is>
      </c>
      <c r="D1" s="12" t="inlineStr">
        <is>
          <t>Error %</t>
        </is>
      </c>
      <c r="E1" s="12" t="inlineStr">
        <is>
          <t>Convergencia</t>
        </is>
      </c>
    </row>
    <row r="2" ht="15" customHeight="1">
      <c r="A2" s="13" t="n">
        <v>0</v>
      </c>
      <c r="B2" s="13" t="n">
        <v>2</v>
      </c>
      <c r="C2" s="13">
        <f>(1/(-2+3*B2^2))*(5+2*B2^3)</f>
        <v/>
      </c>
      <c r="D2" s="13" t="inlineStr"/>
      <c r="E2" s="13" t="inlineStr"/>
    </row>
    <row r="3" ht="15" customHeight="1">
      <c r="A3" s="14" t="n">
        <v>1</v>
      </c>
      <c r="B3" s="14">
        <f>IF(E2="SI","",C2)</f>
        <v/>
      </c>
      <c r="C3" s="14">
        <f>IF(E2="SI","",(1/(-2+3*B3^2))*(5+2*B3^3))</f>
        <v/>
      </c>
      <c r="D3" s="14">
        <f>IF(E2="SI","",ABS((C3-B3)/C3)*100)</f>
        <v/>
      </c>
      <c r="E3" s="14">
        <f>IF(E2="SI","",IF(D3&lt;0.00001,"SI","NO"))</f>
        <v/>
      </c>
    </row>
    <row r="4" ht="15" customHeight="1">
      <c r="A4" s="13" t="n">
        <v>2</v>
      </c>
      <c r="B4" s="13">
        <f>IF(OR(E3="SI",B3=""),"",C3)</f>
        <v/>
      </c>
      <c r="C4" s="13">
        <f>IF(OR(E3="SI",B3=""),"",(1/(-2+3*B4^2))*(5+2*B4^3))</f>
        <v/>
      </c>
      <c r="D4" s="13">
        <f>IF(OR(E3="SI",B3=""),"",ABS((C4-B4)/C4)*100)</f>
        <v/>
      </c>
      <c r="E4" s="13">
        <f>IF(OR(E3="SI",B3=""),"",IF(D4&lt;0.00001,"SI","NO"))</f>
        <v/>
      </c>
    </row>
    <row r="5" ht="15" customHeight="1">
      <c r="A5" s="14" t="n">
        <v>3</v>
      </c>
      <c r="B5" s="14">
        <f>IF(OR(E4="SI",B4=""),"",C4)</f>
        <v/>
      </c>
      <c r="C5" s="14">
        <f>IF(OR(E4="SI",B4=""),"",(1/(-2+3*B5^2))*(5+2*B5^3))</f>
        <v/>
      </c>
      <c r="D5" s="14">
        <f>IF(OR(E4="SI",B4=""),"",ABS((C5-B5)/C5)*100)</f>
        <v/>
      </c>
      <c r="E5" s="14">
        <f>IF(OR(E4="SI",B4=""),"",IF(D5&lt;0.00001,"SI","NO"))</f>
        <v/>
      </c>
    </row>
    <row r="6" ht="17.25" customHeight="1">
      <c r="A6" s="15" t="inlineStr">
        <is>
          <t>MÉTODO DE PUNTO FIJO  —  f(x) = x³ - 2x - 5</t>
        </is>
      </c>
    </row>
    <row r="7" ht="15" customHeight="1">
      <c r="A7" s="16" t="inlineStr">
        <is>
          <t>Ecuación:</t>
        </is>
      </c>
      <c r="B7" s="6" t="inlineStr">
        <is>
          <t>f(x) = x³ - 2x - 5</t>
        </is>
      </c>
      <c r="D7" s="16" t="inlineStr">
        <is>
          <t>g(x):</t>
        </is>
      </c>
      <c r="E7" s="6" t="inlineStr">
        <is>
          <t>g(x) = (2*x**3 + 5)/(3*x**2 - 2)</t>
        </is>
      </c>
    </row>
    <row r="8" ht="15" customHeight="1">
      <c r="A8" s="16" t="inlineStr">
        <is>
          <t>f(x) =</t>
        </is>
      </c>
      <c r="B8" s="6" t="inlineStr">
        <is>
          <t>x³ - 2x - 5</t>
        </is>
      </c>
    </row>
  </sheetData>
  <mergeCells count="1">
    <mergeCell ref="A6:E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2" customWidth="1" min="3" max="3"/>
    <col width="14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16" customWidth="1" min="10" max="10"/>
    <col width="20" customWidth="1" min="11" max="11"/>
    <col width="12" customWidth="1" min="12" max="12"/>
    <col width="14" customWidth="1" min="13" max="13"/>
  </cols>
  <sheetData>
    <row r="1" ht="17.25" customHeight="1">
      <c r="A1" s="17" t="inlineStr">
        <is>
          <t>k</t>
        </is>
      </c>
      <c r="B1" s="17" t="inlineStr">
        <is>
          <t>p̂ₖ (Aitken)</t>
        </is>
      </c>
      <c r="C1" s="17" t="inlineStr">
        <is>
          <t>Error %</t>
        </is>
      </c>
      <c r="D1" s="17" t="inlineStr">
        <is>
          <t>Convergencia</t>
        </is>
      </c>
      <c r="I1" s="15" t="inlineStr">
        <is>
          <t>PUNTO FIJO  —  base de Aitken</t>
        </is>
      </c>
    </row>
    <row r="2">
      <c r="A2" s="18" t="n">
        <v>0</v>
      </c>
      <c r="B2" s="18">
        <f>IFERROR(K3-((K4-K3)^2)/(K5-2*K4+K3),"")</f>
        <v/>
      </c>
      <c r="C2" s="18" t="inlineStr"/>
      <c r="D2" s="18" t="inlineStr"/>
      <c r="I2" s="12" t="inlineStr">
        <is>
          <t>k</t>
        </is>
      </c>
      <c r="J2" s="12" t="inlineStr">
        <is>
          <t>xₖ</t>
        </is>
      </c>
      <c r="K2" s="12" t="inlineStr">
        <is>
          <t>g(xₖ)</t>
        </is>
      </c>
      <c r="L2" s="12" t="inlineStr">
        <is>
          <t>Error %</t>
        </is>
      </c>
      <c r="M2" s="12" t="inlineStr">
        <is>
          <t>Conv</t>
        </is>
      </c>
    </row>
    <row r="3">
      <c r="A3" s="19" t="n">
        <v>1</v>
      </c>
      <c r="B3" s="19">
        <f>IF(D2="SI","",IFERROR(K4-((K5-K4)^2)/(K6-2*K5+K4),""))</f>
        <v/>
      </c>
      <c r="C3" s="19">
        <f>IF(D2="SI","",ABS((B3-B2)/B3)*100)</f>
        <v/>
      </c>
      <c r="D3" s="19">
        <f>IF(D2="SI","",IF(C3&lt;0.00001,"SI","NO"))</f>
        <v/>
      </c>
      <c r="I3" s="14" t="n">
        <v>0</v>
      </c>
      <c r="J3" s="14" t="n">
        <v>2</v>
      </c>
      <c r="K3" s="14">
        <f>(1/(-2+3*J3^2))*(5+2*J3^3)</f>
        <v/>
      </c>
      <c r="L3" s="14" t="inlineStr"/>
      <c r="M3" s="14" t="inlineStr"/>
    </row>
    <row r="4" ht="17.25" customHeight="1">
      <c r="A4" s="10" t="inlineStr">
        <is>
          <t>MÉTODO DE AITKEN (Δ²)  —  f(x) = x³ - 2x - 5</t>
        </is>
      </c>
      <c r="I4" s="14" t="n">
        <v>1</v>
      </c>
      <c r="J4" s="14">
        <f>K3</f>
        <v/>
      </c>
      <c r="K4" s="14">
        <f>(1/(-2+3*J4^2))*(5+2*J4^3)</f>
        <v/>
      </c>
      <c r="L4" s="14">
        <f>ABS((K4-J4)/K4)*100</f>
        <v/>
      </c>
      <c r="M4" s="14">
        <f>IF(L4&lt;0.00001,"SI","NO")</f>
        <v/>
      </c>
    </row>
    <row r="5" ht="15" customHeight="1">
      <c r="A5" s="11" t="inlineStr">
        <is>
          <t>Ecuación:</t>
        </is>
      </c>
      <c r="B5" s="6" t="inlineStr">
        <is>
          <t>f(x) = x³ - 2x - 5</t>
        </is>
      </c>
      <c r="D5" s="11" t="inlineStr">
        <is>
          <t>g(x):</t>
        </is>
      </c>
      <c r="I5" s="14" t="n">
        <v>2</v>
      </c>
      <c r="J5" s="14">
        <f>K4</f>
        <v/>
      </c>
      <c r="K5" s="14">
        <f>(1/(-2+3*J5^2))*(5+2*J5^3)</f>
        <v/>
      </c>
      <c r="L5" s="14">
        <f>ABS((K5-J5)/K5)*100</f>
        <v/>
      </c>
      <c r="M5" s="14">
        <f>IF(L5&lt;0.00001,"SI","NO")</f>
        <v/>
      </c>
    </row>
    <row r="6" ht="15" customHeight="1">
      <c r="A6" s="11" t="inlineStr">
        <is>
          <t>f(x) =</t>
        </is>
      </c>
      <c r="B6" s="6" t="inlineStr">
        <is>
          <t>x³ - 2x - 5</t>
        </is>
      </c>
      <c r="I6" s="13" t="n">
        <v>3</v>
      </c>
      <c r="J6" s="13">
        <f>K5</f>
        <v/>
      </c>
      <c r="K6" s="13">
        <f>(1/(-2+3*J6^2))*(5+2*J6^3)</f>
        <v/>
      </c>
      <c r="L6" s="13">
        <f>ABS((K6-J6)/K6)*100</f>
        <v/>
      </c>
      <c r="M6" s="13">
        <f>IF(L6&lt;0.00001,"SI","NO")</f>
        <v/>
      </c>
    </row>
    <row r="7">
      <c r="I7" s="13" t="n">
        <v>4</v>
      </c>
      <c r="J7" s="13">
        <f>K6</f>
        <v/>
      </c>
      <c r="K7" s="13">
        <f>(1/(-2+3*J7^2))*(5+2*J7^3)</f>
        <v/>
      </c>
      <c r="L7" s="13">
        <f>ABS((K7-J7)/K7)*100</f>
        <v/>
      </c>
      <c r="M7" s="13">
        <f>IF(L7&lt;0.00001,"SI","NO")</f>
        <v/>
      </c>
    </row>
    <row r="8">
      <c r="I8" s="13" t="n">
        <v>5</v>
      </c>
      <c r="J8" s="13">
        <f>K7</f>
        <v/>
      </c>
      <c r="K8" s="13">
        <f>(1/(-2+3*J8^2))*(5+2*J8^3)</f>
        <v/>
      </c>
      <c r="L8" s="13">
        <f>ABS((K8-J8)/K8)*100</f>
        <v/>
      </c>
      <c r="M8" s="13">
        <f>IF(L8&lt;0.00001,"SI","NO")</f>
        <v/>
      </c>
    </row>
  </sheetData>
  <mergeCells count="2">
    <mergeCell ref="I1:M1"/>
    <mergeCell ref="A4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4" customWidth="1" min="4" max="4"/>
    <col width="5" customWidth="1" min="9" max="9"/>
    <col width="22" customWidth="1" min="10" max="10"/>
    <col width="22" customWidth="1" min="11" max="11"/>
    <col width="12" customWidth="1" min="12" max="12"/>
    <col width="14" customWidth="1" min="13" max="13"/>
  </cols>
  <sheetData>
    <row r="1">
      <c r="A1" s="17" t="inlineStr">
        <is>
          <t>k</t>
        </is>
      </c>
      <c r="B1" s="17" t="inlineStr">
        <is>
          <t>p̂ₖ  (Steffensen)</t>
        </is>
      </c>
      <c r="C1" s="17" t="inlineStr">
        <is>
          <t>Error %</t>
        </is>
      </c>
      <c r="D1" s="17" t="inlineStr">
        <is>
          <t>Convergencia</t>
        </is>
      </c>
    </row>
    <row r="2">
      <c r="A2" s="20" t="n">
        <v>0</v>
      </c>
      <c r="B2" s="20">
        <f>IFERROR(J7-((J8-J7)^2)/(J9-2*J8+J7),"")</f>
        <v/>
      </c>
      <c r="C2" s="20" t="inlineStr"/>
      <c r="D2" s="20" t="inlineStr"/>
    </row>
    <row r="3">
      <c r="A3" s="19" t="n">
        <v>1</v>
      </c>
      <c r="B3" s="19">
        <f>IFERROR(J8-((J9-J8)^2)/(J10-2*J9+J8),"")</f>
        <v/>
      </c>
      <c r="C3" s="19">
        <f>IFERROR(ABS((B3-B2)/B3)*100,"")</f>
        <v/>
      </c>
      <c r="D3" s="19">
        <f>IF(C3="","",IF(C3&lt;0.00001,"SI","NO"))</f>
        <v/>
      </c>
    </row>
    <row r="4" ht="17.25" customHeight="1">
      <c r="A4" s="10" t="inlineStr">
        <is>
          <t>MÉTODO DE STEFFENSEN  —  f(x) = x³ - 2x - 5</t>
        </is>
      </c>
    </row>
    <row r="5">
      <c r="A5" s="11" t="inlineStr">
        <is>
          <t>Ecuación:</t>
        </is>
      </c>
      <c r="B5" s="6" t="inlineStr">
        <is>
          <t>f(x) = x³ - 2x - 5</t>
        </is>
      </c>
      <c r="D5" s="11" t="inlineStr">
        <is>
          <t>Base: Aitken (Δ² sobre Punto Fijo)</t>
        </is>
      </c>
      <c r="E5" s="11" t="inlineStr">
        <is>
          <t>f(x) =</t>
        </is>
      </c>
      <c r="F5" s="6" t="inlineStr">
        <is>
          <t>x³ - 2x - 5</t>
        </is>
      </c>
    </row>
    <row r="6">
      <c r="I6" s="17" t="inlineStr">
        <is>
          <t>k</t>
        </is>
      </c>
      <c r="J6" s="17" t="inlineStr">
        <is>
          <t>x̂ₖ  (Aitken Δ²)</t>
        </is>
      </c>
      <c r="K6" s="17" t="inlineStr">
        <is>
          <t>Error %</t>
        </is>
      </c>
      <c r="L6" s="17" t="inlineStr">
        <is>
          <t>Conv</t>
        </is>
      </c>
    </row>
    <row r="7">
      <c r="I7" s="18" t="n">
        <v>0</v>
      </c>
      <c r="J7" s="18">
        <f>IFERROR(K19-((K20-K19)^2)/(K21-2*K20+K19),"")</f>
        <v/>
      </c>
      <c r="K7" s="18" t="inlineStr"/>
      <c r="L7" s="18" t="inlineStr"/>
    </row>
    <row r="8">
      <c r="I8" s="19" t="n">
        <v>1</v>
      </c>
      <c r="J8" s="19">
        <f>IFERROR(K20-((K21-K20)^2)/(K22-2*K21+K20),"")</f>
        <v/>
      </c>
      <c r="K8" s="19">
        <f>IFERROR(ABS((J8-J7)/J8)*100,"")</f>
        <v/>
      </c>
      <c r="L8" s="19">
        <f>IF(K8="","",IF(K8&lt;0.00001,"SI","NO"))</f>
        <v/>
      </c>
    </row>
    <row r="9">
      <c r="I9" s="18" t="n">
        <v>2</v>
      </c>
      <c r="J9" s="18">
        <f>IFERROR(K21-((K22-K21)^2)/(K23-2*K22+K21),"")</f>
        <v/>
      </c>
      <c r="K9" s="18">
        <f>IFERROR(ABS((J9-J8)/J9)*100,"")</f>
        <v/>
      </c>
      <c r="L9" s="18">
        <f>IF(K9="","",IF(K9&lt;0.00001,"SI","NO"))</f>
        <v/>
      </c>
    </row>
    <row r="10">
      <c r="I10" s="19" t="n">
        <v>3</v>
      </c>
      <c r="J10" s="19">
        <f>IFERROR(K22-((K23-K22)^2)/(K24-2*K23+K22),"")</f>
        <v/>
      </c>
      <c r="K10" s="19">
        <f>IFERROR(ABS((J10-J9)/J10)*100,"")</f>
        <v/>
      </c>
      <c r="L10" s="19">
        <f>IF(K10="","",IF(K10&lt;0.00001,"SI","NO"))</f>
        <v/>
      </c>
    </row>
    <row r="12" ht="17.25" customHeight="1">
      <c r="I12" s="10" t="inlineStr">
        <is>
          <t>MÉTODO DE AITKEN (Δ²)  —  f(x) = x³ - 2x - 5</t>
        </is>
      </c>
    </row>
    <row r="13">
      <c r="I13" s="11" t="inlineStr">
        <is>
          <t>Ecuación:</t>
        </is>
      </c>
      <c r="J13" s="6" t="inlineStr">
        <is>
          <t>f(x) = x³ - 2x - 5</t>
        </is>
      </c>
      <c r="L13" s="11" t="inlineStr">
        <is>
          <t>Base: Punto Fijo</t>
        </is>
      </c>
    </row>
    <row r="16" ht="17.25" customHeight="1">
      <c r="I16" s="15" t="inlineStr">
        <is>
          <t>MÉTODO DE PUNTO FIJO  —  f(x) = x³ - 2x - 5</t>
        </is>
      </c>
    </row>
    <row r="17">
      <c r="I17" s="16" t="inlineStr">
        <is>
          <t>Ecuación:</t>
        </is>
      </c>
      <c r="J17" s="6" t="inlineStr">
        <is>
          <t>f(x) = x³ - 2x - 5</t>
        </is>
      </c>
      <c r="L17" s="16" t="inlineStr">
        <is>
          <t>g(x):</t>
        </is>
      </c>
      <c r="M17" s="6" t="inlineStr">
        <is>
          <t>g(x) = (2*x**3 + 5)/(3*x**2 - 2)</t>
        </is>
      </c>
    </row>
    <row r="18">
      <c r="I18" s="12" t="inlineStr">
        <is>
          <t>k</t>
        </is>
      </c>
      <c r="J18" s="12" t="inlineStr">
        <is>
          <t>xₖ</t>
        </is>
      </c>
      <c r="K18" s="12" t="inlineStr">
        <is>
          <t>g(xₖ)</t>
        </is>
      </c>
      <c r="L18" s="12" t="inlineStr">
        <is>
          <t>Error %</t>
        </is>
      </c>
      <c r="M18" s="12" t="inlineStr">
        <is>
          <t>Convergencia</t>
        </is>
      </c>
    </row>
    <row r="19">
      <c r="I19" s="13" t="n">
        <v>0</v>
      </c>
      <c r="J19" s="13" t="n">
        <v>2</v>
      </c>
      <c r="K19" s="13">
        <f>(1/(-2+3*J19^2))*(5+2*J19^3)</f>
        <v/>
      </c>
      <c r="L19" s="13" t="inlineStr"/>
      <c r="M19" s="13" t="inlineStr"/>
    </row>
    <row r="20">
      <c r="I20" s="14" t="n">
        <v>1</v>
      </c>
      <c r="J20" s="14">
        <f>K19</f>
        <v/>
      </c>
      <c r="K20" s="14">
        <f>(1/(-2+3*J20^2))*(5+2*J20^3)</f>
        <v/>
      </c>
      <c r="L20" s="14">
        <f>ABS((K20-J20)/K20)*100</f>
        <v/>
      </c>
      <c r="M20" s="14">
        <f>IF(L20&lt;0.00001,"SI","NO")</f>
        <v/>
      </c>
    </row>
    <row r="21">
      <c r="I21" s="13" t="n">
        <v>2</v>
      </c>
      <c r="J21" s="13">
        <f>K20</f>
        <v/>
      </c>
      <c r="K21" s="13">
        <f>(1/(-2+3*J21^2))*(5+2*J21^3)</f>
        <v/>
      </c>
      <c r="L21" s="13">
        <f>ABS((K21-J21)/K21)*100</f>
        <v/>
      </c>
      <c r="M21" s="13">
        <f>IF(L21&lt;0.00001,"SI","NO")</f>
        <v/>
      </c>
    </row>
    <row r="22">
      <c r="I22" s="14" t="n">
        <v>3</v>
      </c>
      <c r="J22" s="14">
        <f>K21</f>
        <v/>
      </c>
      <c r="K22" s="14">
        <f>(1/(-2+3*J22^2))*(5+2*J22^3)</f>
        <v/>
      </c>
      <c r="L22" s="14">
        <f>ABS((K22-J22)/K22)*100</f>
        <v/>
      </c>
      <c r="M22" s="14">
        <f>IF(L22&lt;0.00001,"SI","NO")</f>
        <v/>
      </c>
    </row>
    <row r="23">
      <c r="I23" s="13" t="n">
        <v>4</v>
      </c>
      <c r="J23" s="13">
        <f>K22</f>
        <v/>
      </c>
      <c r="K23" s="13">
        <f>(1/(-2+3*J23^2))*(5+2*J23^3)</f>
        <v/>
      </c>
      <c r="L23" s="13">
        <f>ABS((K23-J23)/K23)*100</f>
        <v/>
      </c>
      <c r="M23" s="13">
        <f>IF(L23&lt;0.00001,"SI","NO")</f>
        <v/>
      </c>
    </row>
    <row r="24">
      <c r="I24" s="14" t="n">
        <v>5</v>
      </c>
      <c r="J24" s="14">
        <f>K23</f>
        <v/>
      </c>
      <c r="K24" s="14">
        <f>(1/(-2+3*J24^2))*(5+2*J24^3)</f>
        <v/>
      </c>
      <c r="L24" s="14">
        <f>ABS((K24-J24)/K24)*100</f>
        <v/>
      </c>
      <c r="M24" s="14">
        <f>IF(L24&lt;0.00001,"SI","NO")</f>
        <v/>
      </c>
    </row>
    <row r="25">
      <c r="I25" s="13" t="n">
        <v>6</v>
      </c>
      <c r="J25" s="13">
        <f>K24</f>
        <v/>
      </c>
      <c r="K25" s="13">
        <f>(1/(-2+3*J25^2))*(5+2*J25^3)</f>
        <v/>
      </c>
      <c r="L25" s="13">
        <f>ABS((K25-J25)/K25)*100</f>
        <v/>
      </c>
      <c r="M25" s="13">
        <f>IF(L25&lt;0.00001,"SI","NO")</f>
        <v/>
      </c>
    </row>
    <row r="26">
      <c r="I26" s="14" t="n">
        <v>7</v>
      </c>
      <c r="J26" s="14">
        <f>K25</f>
        <v/>
      </c>
      <c r="K26" s="14">
        <f>(1/(-2+3*J26^2))*(5+2*J26^3)</f>
        <v/>
      </c>
      <c r="L26" s="14">
        <f>ABS((K26-J26)/K26)*100</f>
        <v/>
      </c>
      <c r="M26" s="14">
        <f>IF(L26&lt;0.00001,"SI","NO")</f>
        <v/>
      </c>
    </row>
    <row r="27">
      <c r="I27" s="13" t="n">
        <v>8</v>
      </c>
      <c r="J27" s="13">
        <f>K26</f>
        <v/>
      </c>
      <c r="K27" s="13">
        <f>(1/(-2+3*J27^2))*(5+2*J27^3)</f>
        <v/>
      </c>
      <c r="L27" s="13">
        <f>ABS((K27-J27)/K27)*100</f>
        <v/>
      </c>
      <c r="M27" s="13">
        <f>IF(L27&lt;0.00001,"SI","NO")</f>
        <v/>
      </c>
    </row>
    <row r="28">
      <c r="I28" s="14" t="n">
        <v>9</v>
      </c>
      <c r="J28" s="14">
        <f>K27</f>
        <v/>
      </c>
      <c r="K28" s="14">
        <f>(1/(-2+3*J28^2))*(5+2*J28^3)</f>
        <v/>
      </c>
      <c r="L28" s="14">
        <f>ABS((K28-J28)/K28)*100</f>
        <v/>
      </c>
      <c r="M28" s="14">
        <f>IF(L28&lt;0.00001,"SI","NO")</f>
        <v/>
      </c>
    </row>
  </sheetData>
  <mergeCells count="3">
    <mergeCell ref="A4:D4"/>
    <mergeCell ref="I16:M16"/>
    <mergeCell ref="I12:L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6" customWidth="1" min="4" max="4"/>
    <col width="16" customWidth="1" min="5" max="5"/>
    <col width="12" customWidth="1" min="6" max="6"/>
    <col width="14" customWidth="1" min="7" max="7"/>
  </cols>
  <sheetData>
    <row r="1" ht="17.25" customHeight="1">
      <c r="A1" s="21" t="inlineStr">
        <is>
          <t>k</t>
        </is>
      </c>
      <c r="B1" s="21" t="inlineStr">
        <is>
          <t>xₖ</t>
        </is>
      </c>
      <c r="C1" s="21" t="inlineStr">
        <is>
          <t>f(xₖ)</t>
        </is>
      </c>
      <c r="D1" s="21" t="inlineStr">
        <is>
          <t>f'(xₖ)</t>
        </is>
      </c>
      <c r="E1" s="21" t="inlineStr">
        <is>
          <t>xₖ₊₁</t>
        </is>
      </c>
      <c r="F1" s="21" t="inlineStr">
        <is>
          <t>Error %</t>
        </is>
      </c>
      <c r="G1" s="21" t="inlineStr">
        <is>
          <t>Convergencia</t>
        </is>
      </c>
    </row>
    <row r="2" ht="15" customHeight="1">
      <c r="A2" s="22" t="n">
        <v>0</v>
      </c>
      <c r="B2" s="22" t="n">
        <v>2</v>
      </c>
      <c r="C2" s="22">
        <f>-5+B2^3-2*B2</f>
        <v/>
      </c>
      <c r="D2" s="22">
        <f>-2+3*B2^2</f>
        <v/>
      </c>
      <c r="E2" s="22">
        <f>B2-(C2/D2)</f>
        <v/>
      </c>
      <c r="F2" s="22">
        <f>ABS((E2-B2)/E2)*100</f>
        <v/>
      </c>
      <c r="G2" s="22">
        <f>IF(F2&lt;0.00001,"SI","NO")</f>
        <v/>
      </c>
    </row>
    <row r="3" ht="15" customHeight="1">
      <c r="A3" s="23" t="n">
        <v>1</v>
      </c>
      <c r="B3" s="23">
        <f>IF(G2="SI","",E2)</f>
        <v/>
      </c>
      <c r="C3" s="23">
        <f>IF(G2="SI","",-5+B3^3-2*B3)</f>
        <v/>
      </c>
      <c r="D3" s="23">
        <f>IF(G2="SI","",-2+3*B3^2)</f>
        <v/>
      </c>
      <c r="E3" s="23">
        <f>IF(G2="SI","",B3-(C3/D3))</f>
        <v/>
      </c>
      <c r="F3" s="23">
        <f>IF(G2="SI","",ABS((E3-B3)/E3)*100)</f>
        <v/>
      </c>
      <c r="G3" s="23">
        <f>IF(G2="SI","",IF(F3&lt;0.00001,"SI","NO"))</f>
        <v/>
      </c>
    </row>
    <row r="4" ht="15" customHeight="1">
      <c r="A4" s="22" t="n">
        <v>2</v>
      </c>
      <c r="B4" s="22">
        <f>IF(OR(G3="SI",B3=""),"",E3)</f>
        <v/>
      </c>
      <c r="C4" s="22">
        <f>IF(OR(G3="SI",B3=""),"",-5+B4^3-2*B4)</f>
        <v/>
      </c>
      <c r="D4" s="22">
        <f>IF(OR(G3="SI",B3=""),"",-2+3*B4^2)</f>
        <v/>
      </c>
      <c r="E4" s="22">
        <f>IF(OR(G3="SI",B3=""),"",B4-(C4/D4))</f>
        <v/>
      </c>
      <c r="F4" s="22">
        <f>IF(OR(G3="SI",B3=""),"",ABS((E4-B4)/E4)*100)</f>
        <v/>
      </c>
      <c r="G4" s="22">
        <f>IF(OR(G3="SI",B3=""),"",IF(F4&lt;0.00001,"SI","NO"))</f>
        <v/>
      </c>
    </row>
    <row r="5" ht="15" customHeight="1">
      <c r="A5" s="23" t="n">
        <v>3</v>
      </c>
      <c r="B5" s="23">
        <f>IF(OR(G4="SI",B4=""),"",E4)</f>
        <v/>
      </c>
      <c r="C5" s="23">
        <f>IF(OR(G4="SI",B4=""),"",-5+B5^3-2*B5)</f>
        <v/>
      </c>
      <c r="D5" s="23">
        <f>IF(OR(G4="SI",B4=""),"",-2+3*B5^2)</f>
        <v/>
      </c>
      <c r="E5" s="23">
        <f>IF(OR(G4="SI",B4=""),"",B5-(C5/D5))</f>
        <v/>
      </c>
      <c r="F5" s="23">
        <f>IF(OR(G4="SI",B4=""),"",ABS((E5-B5)/E5)*100)</f>
        <v/>
      </c>
      <c r="G5" s="23">
        <f>IF(OR(G4="SI",B4=""),"",IF(F5&lt;0.00001,"SI","NO"))</f>
        <v/>
      </c>
    </row>
    <row r="6" ht="17.25" customHeight="1">
      <c r="A6" s="24" t="inlineStr">
        <is>
          <t>MÉTODO DE NEWTON-RAPHSON  —  f(x) = x³ - 2x - 5</t>
        </is>
      </c>
    </row>
    <row r="7" ht="15" customHeight="1">
      <c r="A7" s="25" t="inlineStr">
        <is>
          <t>Ecuación:</t>
        </is>
      </c>
      <c r="B7" s="6" t="inlineStr">
        <is>
          <t>f(x) = x³ - 2x - 5</t>
        </is>
      </c>
      <c r="D7" s="25" t="inlineStr">
        <is>
          <t>Fórmula:</t>
        </is>
      </c>
      <c r="E7" s="6" t="inlineStr">
        <is>
          <t>xₙ₊₁ = xₙ − f(xₙ)/f'(xₙ)</t>
        </is>
      </c>
    </row>
    <row r="8" ht="15" customHeight="1">
      <c r="A8" s="25" t="inlineStr">
        <is>
          <t>f(x) =</t>
        </is>
      </c>
      <c r="B8" s="6" t="inlineStr">
        <is>
          <t>x³ - 2x - 5</t>
        </is>
      </c>
      <c r="C8" s="25" t="inlineStr">
        <is>
          <t>f'(x) =</t>
        </is>
      </c>
      <c r="D8" s="6" t="inlineStr">
        <is>
          <t>3x² - 2</t>
        </is>
      </c>
    </row>
  </sheetData>
  <mergeCells count="1">
    <mergeCell ref="A6:G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2" customWidth="1" min="7" max="7"/>
    <col width="14" customWidth="1" min="8" max="8"/>
  </cols>
  <sheetData>
    <row r="1" ht="17.25" customHeight="1">
      <c r="A1" s="26" t="inlineStr">
        <is>
          <t>k</t>
        </is>
      </c>
      <c r="B1" s="26" t="inlineStr">
        <is>
          <t>xₖ</t>
        </is>
      </c>
      <c r="C1" s="26" t="inlineStr">
        <is>
          <t>f(xₖ)</t>
        </is>
      </c>
      <c r="D1" s="26" t="inlineStr">
        <is>
          <t>f'(xₖ)</t>
        </is>
      </c>
      <c r="E1" s="26" t="inlineStr">
        <is>
          <t>f''(xₖ)</t>
        </is>
      </c>
      <c r="F1" s="26" t="inlineStr">
        <is>
          <t>xₖ₊₁</t>
        </is>
      </c>
      <c r="G1" s="26" t="inlineStr">
        <is>
          <t>Error %</t>
        </is>
      </c>
      <c r="H1" s="26" t="inlineStr">
        <is>
          <t>Convergencia</t>
        </is>
      </c>
    </row>
    <row r="2" ht="15" customHeight="1">
      <c r="A2" s="27" t="n">
        <v>0</v>
      </c>
      <c r="B2" s="27" t="n">
        <v>2</v>
      </c>
      <c r="C2" s="27">
        <f>-5+B2^3-2*B2</f>
        <v/>
      </c>
      <c r="D2" s="27">
        <f>-2+3*B2^2</f>
        <v/>
      </c>
      <c r="E2" s="27">
        <f>$B$14</f>
        <v/>
      </c>
      <c r="F2" s="27">
        <f>B2-((C2*D2)/(D2^2-C2*E2))</f>
        <v/>
      </c>
      <c r="G2" s="27">
        <f>ABS((F2-B2)/F2)*100</f>
        <v/>
      </c>
      <c r="H2" s="27">
        <f>IF(G2&lt;0.00001,"SI","NO")</f>
        <v/>
      </c>
    </row>
    <row r="3" ht="15" customHeight="1">
      <c r="A3" s="28" t="n">
        <v>1</v>
      </c>
      <c r="B3" s="28">
        <f>IF(H2="SI","",F2)</f>
        <v/>
      </c>
      <c r="C3" s="28">
        <f>IF(H2="SI","",-5+B3^3-2*B3)</f>
        <v/>
      </c>
      <c r="D3" s="28">
        <f>IF(H2="SI","",-2+3*B3^2)</f>
        <v/>
      </c>
      <c r="E3" s="28">
        <f>IF(H2="SI","",$B$14)</f>
        <v/>
      </c>
      <c r="F3" s="28">
        <f>IF(H2="SI","",B3-((C3*D3)/(D3^2-C3*E3)))</f>
        <v/>
      </c>
      <c r="G3" s="28">
        <f>IF(H2="SI","",ABS((F3-B3)/F3)*100)</f>
        <v/>
      </c>
      <c r="H3" s="28">
        <f>IF(H2="SI","",IF(G3&lt;0.00001,"SI","NO"))</f>
        <v/>
      </c>
    </row>
    <row r="4" ht="15" customHeight="1">
      <c r="A4" s="27" t="n">
        <v>2</v>
      </c>
      <c r="B4" s="27">
        <f>IF(OR(H3="SI",B3=""),"",F3)</f>
        <v/>
      </c>
      <c r="C4" s="27">
        <f>IF(OR(H3="SI",B3=""),"",-5+B4^3-2*B4)</f>
        <v/>
      </c>
      <c r="D4" s="27">
        <f>IF(OR(H3="SI",B3=""),"",-2+3*B4^2)</f>
        <v/>
      </c>
      <c r="E4" s="27">
        <f>IF(OR(H3="SI",B3=""),"",$B$14)</f>
        <v/>
      </c>
      <c r="F4" s="27">
        <f>IF(OR(H3="SI",B3=""),"",B4-((C4*D4)/(D4^2-C4*E4)))</f>
        <v/>
      </c>
      <c r="G4" s="27">
        <f>IF(OR(H3="SI",B3=""),"",ABS((F4-B4)/F4)*100)</f>
        <v/>
      </c>
      <c r="H4" s="27">
        <f>IF(OR(H3="SI",B3=""),"",IF(G4&lt;0.00001,"SI","NO"))</f>
        <v/>
      </c>
    </row>
    <row r="5" ht="15" customHeight="1">
      <c r="A5" s="28" t="n">
        <v>3</v>
      </c>
      <c r="B5" s="28">
        <f>IF(OR(H4="SI",B4=""),"",F4)</f>
        <v/>
      </c>
      <c r="C5" s="28">
        <f>IF(OR(H4="SI",B4=""),"",-5+B5^3-2*B5)</f>
        <v/>
      </c>
      <c r="D5" s="28">
        <f>IF(OR(H4="SI",B4=""),"",-2+3*B5^2)</f>
        <v/>
      </c>
      <c r="E5" s="28">
        <f>IF(OR(H4="SI",B4=""),"",$B$14)</f>
        <v/>
      </c>
      <c r="F5" s="28">
        <f>IF(OR(H4="SI",B4=""),"",B5-((C5*D5)/(D5^2-C5*E5)))</f>
        <v/>
      </c>
      <c r="G5" s="28">
        <f>IF(OR(H4="SI",B4=""),"",ABS((F5-B5)/F5)*100)</f>
        <v/>
      </c>
      <c r="H5" s="28">
        <f>IF(OR(H4="SI",B4=""),"",IF(G5&lt;0.00001,"SI","NO"))</f>
        <v/>
      </c>
    </row>
    <row r="6" ht="17.25" customHeight="1">
      <c r="A6" s="29" t="inlineStr">
        <is>
          <t>MÉTODO DE NEWTON MODIFICADO  —  f(x) = x³ - 2x - 5</t>
        </is>
      </c>
    </row>
    <row r="7" ht="15" customHeight="1">
      <c r="A7" s="30" t="inlineStr">
        <is>
          <t>Ecuación:</t>
        </is>
      </c>
      <c r="B7" s="6" t="inlineStr">
        <is>
          <t>f(x) = x³ - 2x - 5</t>
        </is>
      </c>
      <c r="E7" s="30" t="inlineStr">
        <is>
          <t>f''(x₀):</t>
        </is>
      </c>
      <c r="F7" s="6" t="inlineStr">
        <is>
          <t>12</t>
        </is>
      </c>
    </row>
    <row r="8" ht="15" customHeight="1">
      <c r="A8" s="30" t="inlineStr">
        <is>
          <t>f(x) =</t>
        </is>
      </c>
      <c r="B8" s="6" t="inlineStr">
        <is>
          <t>x³ - 2x - 5</t>
        </is>
      </c>
      <c r="C8" s="30" t="inlineStr">
        <is>
          <t>f'(x) =</t>
        </is>
      </c>
      <c r="D8" s="6" t="inlineStr">
        <is>
          <t>3x² - 2</t>
        </is>
      </c>
      <c r="E8" s="30" t="inlineStr">
        <is>
          <t>f''(x) =</t>
        </is>
      </c>
      <c r="F8" s="6" t="inlineStr">
        <is>
          <t>6x</t>
        </is>
      </c>
    </row>
    <row r="14">
      <c r="B14" t="n">
        <v>12</v>
      </c>
    </row>
  </sheetData>
  <mergeCells count="1">
    <mergeCell ref="A6:H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2" customWidth="1" min="7" max="7"/>
    <col width="14" customWidth="1" min="8" max="8"/>
  </cols>
  <sheetData>
    <row r="1" ht="17.25" customHeight="1">
      <c r="A1" s="7" t="inlineStr">
        <is>
          <t>k</t>
        </is>
      </c>
      <c r="B1" s="7" t="inlineStr">
        <is>
          <t>xₖ</t>
        </is>
      </c>
      <c r="C1" s="7" t="inlineStr">
        <is>
          <t>f(xₖ)</t>
        </is>
      </c>
      <c r="D1" s="7" t="inlineStr">
        <is>
          <t>f'(xₖ)</t>
        </is>
      </c>
      <c r="E1" s="7" t="inlineStr">
        <is>
          <t>f''(xₖ)</t>
        </is>
      </c>
      <c r="F1" s="7" t="inlineStr">
        <is>
          <t>xₖ₊₁</t>
        </is>
      </c>
      <c r="G1" s="7" t="inlineStr">
        <is>
          <t>Error %</t>
        </is>
      </c>
      <c r="H1" s="7" t="inlineStr">
        <is>
          <t>Convergencia</t>
        </is>
      </c>
    </row>
    <row r="2" ht="15" customHeight="1">
      <c r="A2" s="8" t="n">
        <v>0</v>
      </c>
      <c r="B2" s="8" t="n">
        <v>2</v>
      </c>
      <c r="C2" s="8">
        <f>-5+B2^3-2*B2</f>
        <v/>
      </c>
      <c r="D2" s="8">
        <f>-2+3*B2^2</f>
        <v/>
      </c>
      <c r="E2" s="8">
        <f>12</f>
        <v/>
      </c>
      <c r="F2" s="8">
        <f>B2+((-D2+((D2)^2-2*E2*C2)^(1/2))/E2)</f>
        <v/>
      </c>
      <c r="G2" s="8">
        <f>ABS((F2-B2)/F2)*100</f>
        <v/>
      </c>
      <c r="H2" s="8">
        <f>IF(G2&lt;0.00001,"SI","NO")</f>
        <v/>
      </c>
    </row>
    <row r="3" ht="15" customHeight="1">
      <c r="A3" s="9" t="n">
        <v>1</v>
      </c>
      <c r="B3" s="9">
        <f>IF(H2="SI","",F2)</f>
        <v/>
      </c>
      <c r="C3" s="9">
        <f>IF(H2="SI","",-5+B3^3-2*B3)</f>
        <v/>
      </c>
      <c r="D3" s="9">
        <f>IF(H2="SI","",-2+3*B3^2)</f>
        <v/>
      </c>
      <c r="E3" s="9">
        <f>IF(H2="SI","",12)</f>
        <v/>
      </c>
      <c r="F3" s="9">
        <f>IF(H2="SI","",B3+((-D3+((D3)^2-2*E3*C3)^(1/2))/E3))</f>
        <v/>
      </c>
      <c r="G3" s="9">
        <f>IF(H2="SI","",ABS((F3-B3)/F3)*100)</f>
        <v/>
      </c>
      <c r="H3" s="9">
        <f>IF(H2="SI","",IF(G3&lt;0.00001,"SI","NO"))</f>
        <v/>
      </c>
    </row>
    <row r="4" ht="15" customHeight="1">
      <c r="A4" s="8" t="n">
        <v>2</v>
      </c>
      <c r="B4" s="8">
        <f>IF(OR(H3="SI",B3=""),"",F3)</f>
        <v/>
      </c>
      <c r="C4" s="8">
        <f>IF(OR(H3="SI",B3=""),"",-5+B4^3-2*B4)</f>
        <v/>
      </c>
      <c r="D4" s="8">
        <f>IF(OR(H3="SI",B3=""),"",-2+3*B4^2)</f>
        <v/>
      </c>
      <c r="E4" s="8">
        <f>IF(OR(H3="SI",B3=""),"",12)</f>
        <v/>
      </c>
      <c r="F4" s="8">
        <f>IF(OR(H3="SI",B3=""),"",B4+((-D4+((D4)^2-2*E4*C4)^(1/2))/E4))</f>
        <v/>
      </c>
      <c r="G4" s="8">
        <f>IF(OR(H3="SI",B3=""),"",ABS((F4-B4)/F4)*100)</f>
        <v/>
      </c>
      <c r="H4" s="8">
        <f>IF(OR(H3="SI",B3=""),"",IF(G4&lt;0.00001,"SI","NO"))</f>
        <v/>
      </c>
    </row>
    <row r="5" ht="17.25" customHeight="1">
      <c r="A5" s="31" t="inlineStr">
        <is>
          <t>MÉTODO DE NEWTON 2DO ORDEN  —  f(x) = x³ - 2x - 5</t>
        </is>
      </c>
    </row>
    <row r="6" ht="15" customHeight="1">
      <c r="A6" s="32" t="inlineStr">
        <is>
          <t>Ecuación:</t>
        </is>
      </c>
      <c r="B6" s="6" t="inlineStr">
        <is>
          <t>f(x) = x³ - 2x - 5</t>
        </is>
      </c>
    </row>
    <row r="7" ht="15" customHeight="1">
      <c r="A7" s="32" t="inlineStr">
        <is>
          <t>f(x) =</t>
        </is>
      </c>
      <c r="B7" s="6" t="inlineStr">
        <is>
          <t>x³ - 2x - 5</t>
        </is>
      </c>
      <c r="C7" s="32" t="inlineStr">
        <is>
          <t>f'(x) =</t>
        </is>
      </c>
      <c r="D7" s="6" t="inlineStr">
        <is>
          <t>3x² - 2</t>
        </is>
      </c>
      <c r="E7" s="32" t="inlineStr">
        <is>
          <t>f''(x) =</t>
        </is>
      </c>
      <c r="F7" s="6" t="inlineStr">
        <is>
          <t>6x</t>
        </is>
      </c>
    </row>
  </sheetData>
  <mergeCells count="1">
    <mergeCell ref="A5:H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2" customWidth="1" min="7" max="7"/>
    <col width="14" customWidth="1" min="8" max="8"/>
  </cols>
  <sheetData>
    <row r="1" ht="17.25" customHeight="1">
      <c r="A1" s="33" t="inlineStr">
        <is>
          <t>k</t>
        </is>
      </c>
      <c r="B1" s="33" t="inlineStr">
        <is>
          <t>xₖ</t>
        </is>
      </c>
      <c r="C1" s="33" t="inlineStr">
        <is>
          <t>f(xₖ)</t>
        </is>
      </c>
      <c r="D1" s="33" t="inlineStr">
        <is>
          <t>f'(xₖ)</t>
        </is>
      </c>
      <c r="E1" s="33" t="inlineStr">
        <is>
          <t>f''(xₖ)</t>
        </is>
      </c>
      <c r="F1" s="33" t="inlineStr">
        <is>
          <t>xₖ₊₁</t>
        </is>
      </c>
      <c r="G1" s="33" t="inlineStr">
        <is>
          <t>Error %</t>
        </is>
      </c>
      <c r="H1" s="33" t="inlineStr">
        <is>
          <t>Convergencia</t>
        </is>
      </c>
    </row>
    <row r="2" ht="15" customHeight="1">
      <c r="A2" s="34" t="n">
        <v>0</v>
      </c>
      <c r="B2" s="34" t="n">
        <v>2</v>
      </c>
      <c r="C2" s="34">
        <f>-5+B2^3-2*B2</f>
        <v/>
      </c>
      <c r="D2" s="34">
        <f>-2+3*B2^2</f>
        <v/>
      </c>
      <c r="E2" s="34">
        <f>$B$13</f>
        <v/>
      </c>
      <c r="F2" s="34">
        <f>B2-(C2/D2)-(((C2^2)*(E2))/(2*(D2)^3))</f>
        <v/>
      </c>
      <c r="G2" s="34">
        <f>ABS((F2-B2)/F2)*100</f>
        <v/>
      </c>
      <c r="H2" s="34">
        <f>IF(G2&lt;0.00001,"SI","NO")</f>
        <v/>
      </c>
    </row>
    <row r="3" ht="15" customHeight="1">
      <c r="A3" s="34" t="n">
        <v>1</v>
      </c>
      <c r="B3" s="34">
        <f>IF(H2="SI","",F2)</f>
        <v/>
      </c>
      <c r="C3" s="34">
        <f>IF(H2="SI","",-5+B3^3-2*B3)</f>
        <v/>
      </c>
      <c r="D3" s="34">
        <f>IF(H2="SI","",-2+3*B3^2)</f>
        <v/>
      </c>
      <c r="E3" s="34">
        <f>IF(H2="SI","",$B$13)</f>
        <v/>
      </c>
      <c r="F3" s="34">
        <f>IF(H2="SI","",B3-(C3/D3)-(((C3^2)*(E3))/(2*(D3)^3)))</f>
        <v/>
      </c>
      <c r="G3" s="34">
        <f>IF(H2="SI","",ABS((F3-B3)/F3)*100)</f>
        <v/>
      </c>
      <c r="H3" s="34">
        <f>IF(H2="SI","",IF(G3&lt;0.00001,"SI","NO"))</f>
        <v/>
      </c>
    </row>
    <row r="4" ht="15" customHeight="1">
      <c r="A4" s="34" t="n">
        <v>2</v>
      </c>
      <c r="B4" s="34">
        <f>IF(OR(H3="SI",B3=""),"",F3)</f>
        <v/>
      </c>
      <c r="C4" s="34">
        <f>IF(OR(H3="SI",B3=""),"",-5+B4^3-2*B4)</f>
        <v/>
      </c>
      <c r="D4" s="34">
        <f>IF(OR(H3="SI",B3=""),"",-2+3*B4^2)</f>
        <v/>
      </c>
      <c r="E4" s="34">
        <f>IF(OR(H3="SI",B3=""),"",$B$13)</f>
        <v/>
      </c>
      <c r="F4" s="34">
        <f>IF(OR(H3="SI",B3=""),"",B4-(C4/D4)-(((C4^2)*(E4))/(2*(D4)^3)))</f>
        <v/>
      </c>
      <c r="G4" s="34">
        <f>IF(OR(H3="SI",B3=""),"",ABS((F4-B4)/F4)*100)</f>
        <v/>
      </c>
      <c r="H4" s="34">
        <f>IF(OR(H3="SI",B3=""),"",IF(G4&lt;0.00001,"SI","NO"))</f>
        <v/>
      </c>
    </row>
    <row r="5" ht="17.25" customHeight="1">
      <c r="A5" s="35" t="inlineStr">
        <is>
          <t>MÉTODO DE CHEBYSHEV  —  f(x) = x³ - 2x - 5</t>
        </is>
      </c>
    </row>
    <row r="6" ht="15" customHeight="1">
      <c r="A6" s="36" t="inlineStr">
        <is>
          <t>Ecuación:</t>
        </is>
      </c>
      <c r="B6" s="6" t="inlineStr">
        <is>
          <t>f(x) = x³ - 2x - 5</t>
        </is>
      </c>
    </row>
    <row r="7" ht="15" customHeight="1">
      <c r="A7" s="36" t="inlineStr">
        <is>
          <t>f(x) =</t>
        </is>
      </c>
      <c r="B7" s="6" t="inlineStr">
        <is>
          <t>x³ - 2x - 5</t>
        </is>
      </c>
      <c r="C7" s="36" t="inlineStr">
        <is>
          <t>f'(x) =</t>
        </is>
      </c>
      <c r="D7" s="6" t="inlineStr">
        <is>
          <t>3x² - 2</t>
        </is>
      </c>
      <c r="E7" s="36" t="inlineStr">
        <is>
          <t>f''(x) =</t>
        </is>
      </c>
      <c r="F7" s="6" t="inlineStr">
        <is>
          <t>6x</t>
        </is>
      </c>
    </row>
    <row r="13">
      <c r="B13" t="n">
        <v>12</v>
      </c>
    </row>
  </sheetData>
  <mergeCells count="1">
    <mergeCell ref="A5:H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2" customWidth="1" min="7" max="7"/>
    <col width="14" customWidth="1" min="8" max="8"/>
  </cols>
  <sheetData>
    <row r="1" ht="17.25" customHeight="1">
      <c r="A1" s="37" t="inlineStr">
        <is>
          <t>k</t>
        </is>
      </c>
      <c r="B1" s="37" t="inlineStr">
        <is>
          <t>xₖ</t>
        </is>
      </c>
      <c r="C1" s="37" t="inlineStr">
        <is>
          <t>f(xₖ)</t>
        </is>
      </c>
      <c r="D1" s="37" t="inlineStr">
        <is>
          <t>f'(xₖ)</t>
        </is>
      </c>
      <c r="E1" s="37" t="inlineStr">
        <is>
          <t>f''(xₖ)</t>
        </is>
      </c>
      <c r="F1" s="37" t="inlineStr">
        <is>
          <t>xₖ₊₁</t>
        </is>
      </c>
      <c r="G1" s="37" t="inlineStr">
        <is>
          <t>Error %</t>
        </is>
      </c>
      <c r="H1" s="37" t="inlineStr">
        <is>
          <t>Convergencia</t>
        </is>
      </c>
    </row>
    <row r="2" ht="15" customHeight="1">
      <c r="A2" s="38" t="n">
        <v>0</v>
      </c>
      <c r="B2" s="38" t="n">
        <v>2</v>
      </c>
      <c r="C2" s="38">
        <f>-5+B2^3-2*B2</f>
        <v/>
      </c>
      <c r="D2" s="38">
        <f>-2+3*B2^2</f>
        <v/>
      </c>
      <c r="E2" s="38">
        <f>$B$13</f>
        <v/>
      </c>
      <c r="F2" s="38">
        <f>B2-(C2/(D2-(E2*C2)/(2*D2)))</f>
        <v/>
      </c>
      <c r="G2" s="38">
        <f>ABS((F2-B2)/F2)*100</f>
        <v/>
      </c>
      <c r="H2" s="38">
        <f>IF(G2&lt;0.00001,"SI","NO")</f>
        <v/>
      </c>
    </row>
    <row r="3" ht="15" customHeight="1">
      <c r="A3" s="39" t="n">
        <v>1</v>
      </c>
      <c r="B3" s="39">
        <f>IF(H2="SI","",F2)</f>
        <v/>
      </c>
      <c r="C3" s="39">
        <f>IF(H2="SI","",-5+B3^3-2*B3)</f>
        <v/>
      </c>
      <c r="D3" s="39">
        <f>IF(H2="SI","",-2+3*B3^2)</f>
        <v/>
      </c>
      <c r="E3" s="39">
        <f>IF(H2="SI","",$B$13)</f>
        <v/>
      </c>
      <c r="F3" s="39">
        <f>IF(H2="SI","",B3-(C3/(D3-(E3*C3)/(2*D3))))</f>
        <v/>
      </c>
      <c r="G3" s="39">
        <f>IF(H2="SI","",ABS((F3-B3)/F3)*100)</f>
        <v/>
      </c>
      <c r="H3" s="39">
        <f>IF(H2="SI","",IF(G3&lt;0.00001,"SI","NO"))</f>
        <v/>
      </c>
    </row>
    <row r="4" ht="15" customHeight="1">
      <c r="A4" s="38" t="n">
        <v>2</v>
      </c>
      <c r="B4" s="38">
        <f>IF(OR(H3="SI",B3=""),"",F3)</f>
        <v/>
      </c>
      <c r="C4" s="38">
        <f>IF(OR(H3="SI",B3=""),"",-5+B4^3-2*B4)</f>
        <v/>
      </c>
      <c r="D4" s="38">
        <f>IF(OR(H3="SI",B3=""),"",-2+3*B4^2)</f>
        <v/>
      </c>
      <c r="E4" s="38">
        <f>IF(OR(H3="SI",B3=""),"",$B$13)</f>
        <v/>
      </c>
      <c r="F4" s="38">
        <f>IF(OR(H3="SI",B3=""),"",B4-(C4/(D4-(E4*C4)/(2*D4))))</f>
        <v/>
      </c>
      <c r="G4" s="38">
        <f>IF(OR(H3="SI",B3=""),"",ABS((F4-B4)/F4)*100)</f>
        <v/>
      </c>
      <c r="H4" s="38">
        <f>IF(OR(H3="SI",B3=""),"",IF(G4&lt;0.00001,"SI","NO"))</f>
        <v/>
      </c>
    </row>
    <row r="5" ht="17.25" customHeight="1">
      <c r="A5" s="40" t="inlineStr">
        <is>
          <t>MÉTODO DE HALLEY  —  f(x) = x³ - 2x - 5</t>
        </is>
      </c>
    </row>
    <row r="6" ht="15" customHeight="1">
      <c r="A6" s="41" t="inlineStr">
        <is>
          <t>Ecuación:</t>
        </is>
      </c>
      <c r="B6" s="6" t="inlineStr">
        <is>
          <t>f(x) = x³ - 2x - 5</t>
        </is>
      </c>
    </row>
    <row r="7" ht="15" customHeight="1">
      <c r="A7" s="41" t="inlineStr">
        <is>
          <t>f(x) =</t>
        </is>
      </c>
      <c r="B7" s="6" t="inlineStr">
        <is>
          <t>x³ - 2x - 5</t>
        </is>
      </c>
      <c r="C7" s="41" t="inlineStr">
        <is>
          <t>f'(x) =</t>
        </is>
      </c>
      <c r="D7" s="6" t="inlineStr">
        <is>
          <t>3x² - 2</t>
        </is>
      </c>
      <c r="E7" s="41" t="inlineStr">
        <is>
          <t>f''(x) =</t>
        </is>
      </c>
      <c r="F7" s="6" t="inlineStr">
        <is>
          <t>6x</t>
        </is>
      </c>
    </row>
    <row r="13">
      <c r="B13" t="n">
        <v>12</v>
      </c>
    </row>
  </sheetData>
  <mergeCells count="1">
    <mergeCell ref="A5:H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2" customWidth="1" min="7" max="7"/>
    <col width="14" customWidth="1" min="8" max="8"/>
  </cols>
  <sheetData>
    <row r="1" ht="17.25" customHeight="1">
      <c r="A1" s="42" t="inlineStr">
        <is>
          <t>k</t>
        </is>
      </c>
      <c r="B1" s="42" t="inlineStr">
        <is>
          <t>xₖ</t>
        </is>
      </c>
      <c r="C1" s="42" t="inlineStr">
        <is>
          <t>f(xₖ)</t>
        </is>
      </c>
      <c r="D1" s="42" t="inlineStr">
        <is>
          <t>f'(xₖ)</t>
        </is>
      </c>
      <c r="E1" s="42" t="inlineStr">
        <is>
          <t>f''(xₖ)</t>
        </is>
      </c>
      <c r="F1" s="42" t="inlineStr">
        <is>
          <t>xₖ₊₁</t>
        </is>
      </c>
      <c r="G1" s="42" t="inlineStr">
        <is>
          <t>Error %</t>
        </is>
      </c>
      <c r="H1" s="42" t="inlineStr">
        <is>
          <t>Convergencia</t>
        </is>
      </c>
    </row>
    <row r="2" ht="15" customHeight="1">
      <c r="A2" s="43" t="n">
        <v>0</v>
      </c>
      <c r="B2" s="43" t="n">
        <v>2</v>
      </c>
      <c r="C2" s="43">
        <f>-5+B2^3-2*B2</f>
        <v/>
      </c>
      <c r="D2" s="43">
        <f>-2+3*B2^2</f>
        <v/>
      </c>
      <c r="E2" s="43">
        <f>$B$13</f>
        <v/>
      </c>
      <c r="F2" s="43">
        <f>B2-(2*(D2^2)-C2*E2)/(2*((D2^2)-C2*E2))*((C2)/(D2))</f>
        <v/>
      </c>
      <c r="G2" s="43">
        <f>ABS((F2-B2)/F2)*100</f>
        <v/>
      </c>
      <c r="H2" s="43">
        <f>IF(G2&lt;0.00001,"SI","NO")</f>
        <v/>
      </c>
    </row>
    <row r="3" ht="15" customHeight="1">
      <c r="A3" s="27" t="n">
        <v>1</v>
      </c>
      <c r="B3" s="27">
        <f>IF(H2="SI","",F2)</f>
        <v/>
      </c>
      <c r="C3" s="27">
        <f>IF(H2="SI","",-5+B3^3-2*B3)</f>
        <v/>
      </c>
      <c r="D3" s="27">
        <f>IF(H2="SI","",-2+3*B3^2)</f>
        <v/>
      </c>
      <c r="E3" s="27">
        <f>IF(H2="SI","",$B$13)</f>
        <v/>
      </c>
      <c r="F3" s="27">
        <f>IF(H2="SI","",B3-(2*(D3^2)-C3*E3)/(2*((D3^2)-C3*E3))*((C3)/(D3)))</f>
        <v/>
      </c>
      <c r="G3" s="27">
        <f>IF(H2="SI","",ABS((F3-B3)/F3)*100)</f>
        <v/>
      </c>
      <c r="H3" s="27">
        <f>IF(H2="SI","",IF(G3&lt;0.00001,"SI","NO"))</f>
        <v/>
      </c>
    </row>
    <row r="4" ht="15" customHeight="1">
      <c r="A4" s="43" t="n">
        <v>2</v>
      </c>
      <c r="B4" s="43">
        <f>IF(OR(H3="SI",B3=""),"",F3)</f>
        <v/>
      </c>
      <c r="C4" s="43">
        <f>IF(OR(H3="SI",B3=""),"",-5+B4^3-2*B4)</f>
        <v/>
      </c>
      <c r="D4" s="43">
        <f>IF(OR(H3="SI",B3=""),"",-2+3*B4^2)</f>
        <v/>
      </c>
      <c r="E4" s="43">
        <f>IF(OR(H3="SI",B3=""),"",$B$13)</f>
        <v/>
      </c>
      <c r="F4" s="43">
        <f>IF(OR(H3="SI",B3=""),"",B4-(2*(D4^2)-C4*E4)/(2*((D4^2)-C4*E4))*((C4)/(D4)))</f>
        <v/>
      </c>
      <c r="G4" s="43">
        <f>IF(OR(H3="SI",B3=""),"",ABS((F4-B4)/F4)*100)</f>
        <v/>
      </c>
      <c r="H4" s="43">
        <f>IF(OR(H3="SI",B3=""),"",IF(G4&lt;0.00001,"SI","NO"))</f>
        <v/>
      </c>
    </row>
    <row r="5" ht="17.25" customHeight="1">
      <c r="A5" s="44" t="inlineStr">
        <is>
          <t>MÉTODO DE SUPER HALLEY  —  f(x) = x³ - 2x - 5</t>
        </is>
      </c>
    </row>
    <row r="6" ht="15" customHeight="1">
      <c r="A6" s="45" t="inlineStr">
        <is>
          <t>Ecuación:</t>
        </is>
      </c>
      <c r="B6" s="6" t="inlineStr">
        <is>
          <t>f(x) = x³ - 2x - 5</t>
        </is>
      </c>
    </row>
    <row r="7" ht="15" customHeight="1">
      <c r="A7" s="45" t="inlineStr">
        <is>
          <t>f(x) =</t>
        </is>
      </c>
      <c r="B7" s="6" t="inlineStr">
        <is>
          <t>x³ - 2x - 5</t>
        </is>
      </c>
      <c r="C7" s="45" t="inlineStr">
        <is>
          <t>f'(x) =</t>
        </is>
      </c>
      <c r="D7" s="6" t="inlineStr">
        <is>
          <t>3x² - 2</t>
        </is>
      </c>
      <c r="E7" s="45" t="inlineStr">
        <is>
          <t>f''(x) =</t>
        </is>
      </c>
      <c r="F7" s="6" t="inlineStr">
        <is>
          <t>6x</t>
        </is>
      </c>
    </row>
    <row r="13">
      <c r="B13" t="n">
        <v>12</v>
      </c>
    </row>
  </sheetData>
  <mergeCells count="1">
    <mergeCell ref="A5:H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2" customWidth="1" min="7" max="7"/>
    <col width="14" customWidth="1" min="8" max="8"/>
  </cols>
  <sheetData>
    <row r="1" ht="17.25" customHeight="1">
      <c r="A1" s="12" t="inlineStr">
        <is>
          <t>k</t>
        </is>
      </c>
      <c r="B1" s="12" t="inlineStr">
        <is>
          <t>xₖ</t>
        </is>
      </c>
      <c r="C1" s="12" t="inlineStr">
        <is>
          <t>f(xₖ)</t>
        </is>
      </c>
      <c r="D1" s="12" t="inlineStr">
        <is>
          <t>f'(xₖ)</t>
        </is>
      </c>
      <c r="E1" s="12" t="inlineStr">
        <is>
          <t>f''(xₖ)</t>
        </is>
      </c>
      <c r="F1" s="12" t="inlineStr">
        <is>
          <t>xₖ₊₁</t>
        </is>
      </c>
      <c r="G1" s="12" t="inlineStr">
        <is>
          <t>Error %</t>
        </is>
      </c>
      <c r="H1" s="12" t="inlineStr">
        <is>
          <t>Convergencia</t>
        </is>
      </c>
    </row>
    <row r="2" ht="15" customHeight="1">
      <c r="A2" s="46" t="n">
        <v>0</v>
      </c>
      <c r="B2" s="46" t="n">
        <v>2</v>
      </c>
      <c r="C2" s="46">
        <f>-5+B2^3-2*B2</f>
        <v/>
      </c>
      <c r="D2" s="46">
        <f>-2+3*B2^2</f>
        <v/>
      </c>
      <c r="E2" s="46">
        <f>12</f>
        <v/>
      </c>
      <c r="F2" s="46">
        <f>B2-(D2/((D2^2-C2*E2)^(1/2)))*(C2/D2)</f>
        <v/>
      </c>
      <c r="G2" s="46">
        <f>ABS((F2-B2)/F2)*100</f>
        <v/>
      </c>
      <c r="H2" s="46">
        <f>IF(G2&lt;0.00001,"SI","NO")</f>
        <v/>
      </c>
    </row>
    <row r="3" ht="15" customHeight="1">
      <c r="A3" s="14" t="n">
        <v>1</v>
      </c>
      <c r="B3" s="14">
        <f>IF(H2="SI","",F2)</f>
        <v/>
      </c>
      <c r="C3" s="14">
        <f>IF(H2="SI","",-5+B3^3-2*B3)</f>
        <v/>
      </c>
      <c r="D3" s="14">
        <f>IF(H2="SI","",-2+3*B3^2)</f>
        <v/>
      </c>
      <c r="E3" s="14">
        <f>IF(H2="SI","",12)</f>
        <v/>
      </c>
      <c r="F3" s="14">
        <f>IF(H2="SI","",B3-(D3/((D3^2-C3*E3)^(1/2)))*(C3/D3))</f>
        <v/>
      </c>
      <c r="G3" s="14">
        <f>IF(H2="SI","",ABS((F3-B3)/F3)*100)</f>
        <v/>
      </c>
      <c r="H3" s="14">
        <f>IF(H2="SI","",IF(G3&lt;0.00001,"SI","NO"))</f>
        <v/>
      </c>
    </row>
    <row r="4" ht="15" customHeight="1">
      <c r="A4" s="46" t="n">
        <v>2</v>
      </c>
      <c r="B4" s="46">
        <f>IF(OR(H3="SI",B3=""),"",F3)</f>
        <v/>
      </c>
      <c r="C4" s="46">
        <f>IF(OR(H3="SI",B3=""),"",-5+B4^3-2*B4)</f>
        <v/>
      </c>
      <c r="D4" s="46">
        <f>IF(OR(H3="SI",B3=""),"",-2+3*B4^2)</f>
        <v/>
      </c>
      <c r="E4" s="46">
        <f>IF(OR(H3="SI",B3=""),"",12)</f>
        <v/>
      </c>
      <c r="F4" s="46">
        <f>IF(OR(H3="SI",B3=""),"",B4-(D4/((D4^2-C4*E4)^(1/2)))*(C4/D4))</f>
        <v/>
      </c>
      <c r="G4" s="46">
        <f>IF(OR(H3="SI",B3=""),"",ABS((F4-B4)/F4)*100)</f>
        <v/>
      </c>
      <c r="H4" s="46">
        <f>IF(OR(H3="SI",B3=""),"",IF(G4&lt;0.00001,"SI","NO"))</f>
        <v/>
      </c>
    </row>
    <row r="5" ht="17.25" customHeight="1">
      <c r="A5" s="47" t="inlineStr">
        <is>
          <t>MÉTODO DE OSTROWSKY  —  f(x) = x³ - 2x - 5</t>
        </is>
      </c>
    </row>
    <row r="6" ht="15" customHeight="1">
      <c r="A6" s="48" t="inlineStr">
        <is>
          <t>Ecuación:</t>
        </is>
      </c>
      <c r="B6" s="6" t="inlineStr">
        <is>
          <t>f(x) = x³ - 2x - 5</t>
        </is>
      </c>
    </row>
    <row r="7" ht="15" customHeight="1">
      <c r="A7" s="48" t="inlineStr">
        <is>
          <t>f(x) =</t>
        </is>
      </c>
      <c r="B7" s="6" t="inlineStr">
        <is>
          <t>x³ - 2x - 5</t>
        </is>
      </c>
      <c r="C7" s="48" t="inlineStr">
        <is>
          <t>f'(x) =</t>
        </is>
      </c>
      <c r="D7" s="6" t="inlineStr">
        <is>
          <t>3x² - 2</t>
        </is>
      </c>
      <c r="E7" s="48" t="inlineStr">
        <is>
          <t>f''(x) =</t>
        </is>
      </c>
      <c r="F7" s="6" t="inlineStr">
        <is>
          <t>6x</t>
        </is>
      </c>
    </row>
  </sheetData>
  <mergeCells count="1">
    <mergeCell ref="A5:H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2" customWidth="1" min="7" max="7"/>
    <col width="14" customWidth="1" min="8" max="8"/>
  </cols>
  <sheetData>
    <row r="1" ht="17.25" customHeight="1">
      <c r="A1" s="17" t="inlineStr">
        <is>
          <t>k</t>
        </is>
      </c>
      <c r="B1" s="17" t="inlineStr">
        <is>
          <t>xₖ</t>
        </is>
      </c>
      <c r="C1" s="17" t="inlineStr">
        <is>
          <t>f(xₖ)</t>
        </is>
      </c>
      <c r="D1" s="17" t="inlineStr">
        <is>
          <t>xₖ₋₁</t>
        </is>
      </c>
      <c r="E1" s="17" t="inlineStr">
        <is>
          <t>f(xₖ₋₁)</t>
        </is>
      </c>
      <c r="F1" s="17" t="inlineStr">
        <is>
          <t>xₖ₊₁</t>
        </is>
      </c>
      <c r="G1" s="17" t="inlineStr">
        <is>
          <t>Error %</t>
        </is>
      </c>
      <c r="H1" s="17" t="inlineStr">
        <is>
          <t>Convergencia</t>
        </is>
      </c>
    </row>
    <row r="2" ht="15" customHeight="1">
      <c r="A2" s="18" t="n">
        <v>0</v>
      </c>
      <c r="B2" s="18" t="n">
        <v>2</v>
      </c>
      <c r="C2" s="18">
        <f>-5+B2^3-2*B2</f>
        <v/>
      </c>
      <c r="D2" s="18" t="n">
        <v>3</v>
      </c>
      <c r="E2" s="18">
        <f>-5+D2^3-2*D2</f>
        <v/>
      </c>
      <c r="F2" s="18" t="inlineStr"/>
      <c r="G2" s="18" t="inlineStr"/>
      <c r="H2" s="18" t="inlineStr"/>
    </row>
    <row r="3" ht="15" customHeight="1">
      <c r="A3" s="19" t="n">
        <v>1</v>
      </c>
      <c r="B3" s="19" t="n">
        <v>3</v>
      </c>
      <c r="C3" s="19">
        <f>-5+B3^3-2*B3</f>
        <v/>
      </c>
      <c r="D3" s="19">
        <f>B2</f>
        <v/>
      </c>
      <c r="E3" s="19">
        <f>C2</f>
        <v/>
      </c>
      <c r="F3" s="19">
        <f>B3-(C3*(B3-D3)/(C3-E3))</f>
        <v/>
      </c>
      <c r="G3" s="19">
        <f>IFERROR(ABS((F3-B3)/F3)*100,0)</f>
        <v/>
      </c>
      <c r="H3" s="19">
        <f>IF(IFERROR(G3,0)&lt;0.00001,"SI","NO")</f>
        <v/>
      </c>
    </row>
    <row r="4" ht="15" customHeight="1">
      <c r="A4" s="18" t="n">
        <v>2</v>
      </c>
      <c r="B4" s="18">
        <f>IF(OR(H3="SI",B3=""),"",IFERROR(F3,B3))</f>
        <v/>
      </c>
      <c r="C4" s="18">
        <f>IF(OR(H3="SI",B3=""),"",IFERROR(-5+B4^3-2*B4,0))</f>
        <v/>
      </c>
      <c r="D4" s="18">
        <f>IF(OR(H3="SI",B3=""),"",IFERROR(B3,B3))</f>
        <v/>
      </c>
      <c r="E4" s="18">
        <f>IF(OR(H3="SI",B3=""),"",IFERROR(C3,0))</f>
        <v/>
      </c>
      <c r="F4" s="18">
        <f>IF(OR(H3="SI",B3=""),"",IFERROR(B4-(C4*(B4-D4)/(C4-E4)),B4))</f>
        <v/>
      </c>
      <c r="G4" s="18">
        <f>IF(OR(H3="SI",B3=""),"",IFERROR(ABS((F4-B4)/F4)*100,0))</f>
        <v/>
      </c>
      <c r="H4" s="18">
        <f>IF(OR(H3="SI",B3=""),"",IF(IFERROR(G4,0)&lt;0.00001,"SI","NO"))</f>
        <v/>
      </c>
    </row>
    <row r="5" ht="15" customHeight="1">
      <c r="A5" s="19" t="n">
        <v>3</v>
      </c>
      <c r="B5" s="19">
        <f>IF(OR(H4="SI",B4=""),"",IFERROR(F4,B4))</f>
        <v/>
      </c>
      <c r="C5" s="19">
        <f>IF(OR(H4="SI",B4=""),"",IFERROR(-5+B5^3-2*B5,0))</f>
        <v/>
      </c>
      <c r="D5" s="19">
        <f>IF(OR(H4="SI",B4=""),"",IFERROR(B4,B4))</f>
        <v/>
      </c>
      <c r="E5" s="19">
        <f>IF(OR(H4="SI",B4=""),"",IFERROR(C4,0))</f>
        <v/>
      </c>
      <c r="F5" s="19">
        <f>IF(OR(H4="SI",B4=""),"",IFERROR(B5-(C5*(B5-D5)/(C5-E5)),B5))</f>
        <v/>
      </c>
      <c r="G5" s="19">
        <f>IF(OR(H4="SI",B4=""),"",IFERROR(ABS((F5-B5)/F5)*100,0))</f>
        <v/>
      </c>
      <c r="H5" s="19">
        <f>IF(OR(H4="SI",B4=""),"",IF(IFERROR(G5,0)&lt;0.00001,"SI","NO"))</f>
        <v/>
      </c>
    </row>
    <row r="6" ht="15" customHeight="1">
      <c r="A6" s="18" t="n">
        <v>4</v>
      </c>
      <c r="B6" s="18">
        <f>IF(OR(H5="SI",B5=""),"",IFERROR(F5,B5))</f>
        <v/>
      </c>
      <c r="C6" s="18">
        <f>IF(OR(H5="SI",B5=""),"",IFERROR(-5+B6^3-2*B6,0))</f>
        <v/>
      </c>
      <c r="D6" s="18">
        <f>IF(OR(H5="SI",B5=""),"",IFERROR(B5,B5))</f>
        <v/>
      </c>
      <c r="E6" s="18">
        <f>IF(OR(H5="SI",B5=""),"",IFERROR(C5,0))</f>
        <v/>
      </c>
      <c r="F6" s="18">
        <f>IF(OR(H5="SI",B5=""),"",IFERROR(B6-(C6*(B6-D6)/(C6-E6)),B6))</f>
        <v/>
      </c>
      <c r="G6" s="18">
        <f>IF(OR(H5="SI",B5=""),"",IFERROR(ABS((F6-B6)/F6)*100,0))</f>
        <v/>
      </c>
      <c r="H6" s="18">
        <f>IF(OR(H5="SI",B5=""),"",IF(IFERROR(G6,0)&lt;0.00001,"SI","NO"))</f>
        <v/>
      </c>
    </row>
    <row r="7" ht="15" customHeight="1">
      <c r="A7" s="19" t="n">
        <v>5</v>
      </c>
      <c r="B7" s="19">
        <f>IF(OR(H6="SI",B6=""),"",IFERROR(F6,B6))</f>
        <v/>
      </c>
      <c r="C7" s="19">
        <f>IF(OR(H6="SI",B6=""),"",IFERROR(-5+B7^3-2*B7,0))</f>
        <v/>
      </c>
      <c r="D7" s="19">
        <f>IF(OR(H6="SI",B6=""),"",IFERROR(B6,B6))</f>
        <v/>
      </c>
      <c r="E7" s="19">
        <f>IF(OR(H6="SI",B6=""),"",IFERROR(C6,0))</f>
        <v/>
      </c>
      <c r="F7" s="19">
        <f>IF(OR(H6="SI",B6=""),"",IFERROR(B7-(C7*(B7-D7)/(C7-E7)),B7))</f>
        <v/>
      </c>
      <c r="G7" s="19">
        <f>IF(OR(H6="SI",B6=""),"",IFERROR(ABS((F7-B7)/F7)*100,0))</f>
        <v/>
      </c>
      <c r="H7" s="19">
        <f>IF(OR(H6="SI",B6=""),"",IF(IFERROR(G7,0)&lt;0.00001,"SI","NO"))</f>
        <v/>
      </c>
    </row>
    <row r="8" ht="15" customHeight="1">
      <c r="A8" s="18" t="n">
        <v>6</v>
      </c>
      <c r="B8" s="18">
        <f>IF(OR(H7="SI",B7=""),"",IFERROR(F7,B7))</f>
        <v/>
      </c>
      <c r="C8" s="18">
        <f>IF(OR(H7="SI",B7=""),"",IFERROR(-5+B8^3-2*B8,0))</f>
        <v/>
      </c>
      <c r="D8" s="18">
        <f>IF(OR(H7="SI",B7=""),"",IFERROR(B7,B7))</f>
        <v/>
      </c>
      <c r="E8" s="18">
        <f>IF(OR(H7="SI",B7=""),"",IFERROR(C7,0))</f>
        <v/>
      </c>
      <c r="F8" s="18">
        <f>IF(OR(H7="SI",B7=""),"",IFERROR(B8-(C8*(B8-D8)/(C8-E8)),B8))</f>
        <v/>
      </c>
      <c r="G8" s="18">
        <f>IF(OR(H7="SI",B7=""),"",IFERROR(ABS((F8-B8)/F8)*100,0))</f>
        <v/>
      </c>
      <c r="H8" s="18">
        <f>IF(OR(H7="SI",B7=""),"",IF(IFERROR(G8,0)&lt;0.00001,"SI","NO"))</f>
        <v/>
      </c>
    </row>
    <row r="9" ht="17.25" customHeight="1">
      <c r="A9" s="31" t="inlineStr">
        <is>
          <t>MÉTODO DE LA SECANTE  —  f(x) = x³ - 2x - 5</t>
        </is>
      </c>
    </row>
    <row r="10" ht="15" customHeight="1">
      <c r="A10" s="32" t="inlineStr">
        <is>
          <t>Ecuación:</t>
        </is>
      </c>
      <c r="B10" s="6" t="inlineStr">
        <is>
          <t>f(x) = x³ - 2x - 5</t>
        </is>
      </c>
      <c r="D10" s="32" t="inlineStr">
        <is>
          <t>x₀, x₁:</t>
        </is>
      </c>
      <c r="E10" s="6" t="inlineStr">
        <is>
          <t>2.0, 3.0</t>
        </is>
      </c>
    </row>
    <row r="11" ht="15" customHeight="1">
      <c r="A11" s="32" t="inlineStr">
        <is>
          <t>f(x) =</t>
        </is>
      </c>
      <c r="B11" s="6" t="inlineStr">
        <is>
          <t>x³ - 2x - 5</t>
        </is>
      </c>
    </row>
  </sheetData>
  <mergeCells count="1">
    <mergeCell ref="A9:H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8" customWidth="1" min="4" max="4"/>
    <col width="16" customWidth="1" min="5" max="5"/>
    <col width="12" customWidth="1" min="6" max="6"/>
    <col width="14" customWidth="1" min="7" max="7"/>
  </cols>
  <sheetData>
    <row r="1" ht="17.25" customHeight="1">
      <c r="A1" s="1" t="inlineStr">
        <is>
          <t>k</t>
        </is>
      </c>
      <c r="B1" s="1" t="inlineStr">
        <is>
          <t>xₖ</t>
        </is>
      </c>
      <c r="C1" s="1" t="inlineStr">
        <is>
          <t>f(xₖ)</t>
        </is>
      </c>
      <c r="D1" s="1" t="inlineStr">
        <is>
          <t>f'(x₀) cte.</t>
        </is>
      </c>
      <c r="E1" s="1" t="inlineStr">
        <is>
          <t>xₖ₊₁</t>
        </is>
      </c>
      <c r="F1" s="1" t="inlineStr">
        <is>
          <t>Error %</t>
        </is>
      </c>
      <c r="G1" s="1" t="inlineStr">
        <is>
          <t>Convergencia</t>
        </is>
      </c>
    </row>
    <row r="2" ht="15" customHeight="1">
      <c r="A2" s="2" t="n">
        <v>0</v>
      </c>
      <c r="B2" s="2" t="n">
        <v>2</v>
      </c>
      <c r="C2" s="2">
        <f>-5+B2^3-2*B2</f>
        <v/>
      </c>
      <c r="D2" s="2">
        <f>10</f>
        <v/>
      </c>
      <c r="E2" s="2">
        <f>B2-(C2/D2)</f>
        <v/>
      </c>
      <c r="F2" s="2">
        <f>ABS((E2-B2)/E2)*100</f>
        <v/>
      </c>
      <c r="G2" s="2">
        <f>IF(F2&lt;0.00001,"SI","NO")</f>
        <v/>
      </c>
    </row>
    <row r="3" ht="15" customHeight="1">
      <c r="A3" s="3" t="n">
        <v>1</v>
      </c>
      <c r="B3" s="3">
        <f>IF(G2="SI","",E2)</f>
        <v/>
      </c>
      <c r="C3" s="3">
        <f>IF(G2="SI","",-5+B3^3-2*B3)</f>
        <v/>
      </c>
      <c r="D3" s="3">
        <f>IF(G2="SI","",10)</f>
        <v/>
      </c>
      <c r="E3" s="3">
        <f>IF(G2="SI","",B3-(C3/D3))</f>
        <v/>
      </c>
      <c r="F3" s="3">
        <f>IF(G2="SI","",ABS((E3-B3)/E3)*100)</f>
        <v/>
      </c>
      <c r="G3" s="3">
        <f>IF(G2="SI","",IF(F3&lt;0.00001,"SI","NO"))</f>
        <v/>
      </c>
    </row>
    <row r="4" ht="15" customHeight="1">
      <c r="A4" s="2" t="n">
        <v>2</v>
      </c>
      <c r="B4" s="2">
        <f>IF(OR(G3="SI",B3=""),"",E3)</f>
        <v/>
      </c>
      <c r="C4" s="2">
        <f>IF(OR(G3="SI",B3=""),"",-5+B4^3-2*B4)</f>
        <v/>
      </c>
      <c r="D4" s="2">
        <f>IF(OR(G3="SI",B3=""),"",10)</f>
        <v/>
      </c>
      <c r="E4" s="2">
        <f>IF(OR(G3="SI",B3=""),"",B4-(C4/D4))</f>
        <v/>
      </c>
      <c r="F4" s="2">
        <f>IF(OR(G3="SI",B3=""),"",ABS((E4-B4)/E4)*100)</f>
        <v/>
      </c>
      <c r="G4" s="2">
        <f>IF(OR(G3="SI",B3=""),"",IF(F4&lt;0.00001,"SI","NO"))</f>
        <v/>
      </c>
    </row>
    <row r="5" ht="15" customHeight="1">
      <c r="A5" s="3" t="n">
        <v>3</v>
      </c>
      <c r="B5" s="3">
        <f>IF(OR(G4="SI",B4=""),"",E4)</f>
        <v/>
      </c>
      <c r="C5" s="3">
        <f>IF(OR(G4="SI",B4=""),"",-5+B5^3-2*B5)</f>
        <v/>
      </c>
      <c r="D5" s="3">
        <f>IF(OR(G4="SI",B4=""),"",10)</f>
        <v/>
      </c>
      <c r="E5" s="3">
        <f>IF(OR(G4="SI",B4=""),"",B5-(C5/D5))</f>
        <v/>
      </c>
      <c r="F5" s="3">
        <f>IF(OR(G4="SI",B4=""),"",ABS((E5-B5)/E5)*100)</f>
        <v/>
      </c>
      <c r="G5" s="3">
        <f>IF(OR(G4="SI",B4=""),"",IF(F5&lt;0.00001,"SI","NO"))</f>
        <v/>
      </c>
    </row>
    <row r="6" ht="15" customHeight="1">
      <c r="A6" s="2" t="n">
        <v>4</v>
      </c>
      <c r="B6" s="2">
        <f>IF(OR(G5="SI",B5=""),"",E5)</f>
        <v/>
      </c>
      <c r="C6" s="2">
        <f>IF(OR(G5="SI",B5=""),"",-5+B6^3-2*B6)</f>
        <v/>
      </c>
      <c r="D6" s="2">
        <f>IF(OR(G5="SI",B5=""),"",10)</f>
        <v/>
      </c>
      <c r="E6" s="2">
        <f>IF(OR(G5="SI",B5=""),"",B6-(C6/D6))</f>
        <v/>
      </c>
      <c r="F6" s="2">
        <f>IF(OR(G5="SI",B5=""),"",ABS((E6-B6)/E6)*100)</f>
        <v/>
      </c>
      <c r="G6" s="2">
        <f>IF(OR(G5="SI",B5=""),"",IF(F6&lt;0.00001,"SI","NO"))</f>
        <v/>
      </c>
    </row>
    <row r="7" ht="15" customHeight="1">
      <c r="A7" s="3" t="n">
        <v>5</v>
      </c>
      <c r="B7" s="3">
        <f>IF(OR(G6="SI",B6=""),"",E6)</f>
        <v/>
      </c>
      <c r="C7" s="3">
        <f>IF(OR(G6="SI",B6=""),"",-5+B7^3-2*B7)</f>
        <v/>
      </c>
      <c r="D7" s="3">
        <f>IF(OR(G6="SI",B6=""),"",10)</f>
        <v/>
      </c>
      <c r="E7" s="3">
        <f>IF(OR(G6="SI",B6=""),"",B7-(C7/D7))</f>
        <v/>
      </c>
      <c r="F7" s="3">
        <f>IF(OR(G6="SI",B6=""),"",ABS((E7-B7)/E7)*100)</f>
        <v/>
      </c>
      <c r="G7" s="3">
        <f>IF(OR(G6="SI",B6=""),"",IF(F7&lt;0.00001,"SI","NO"))</f>
        <v/>
      </c>
    </row>
    <row r="8" ht="15" customHeight="1">
      <c r="A8" s="2" t="n">
        <v>6</v>
      </c>
      <c r="B8" s="2">
        <f>IF(OR(G7="SI",B7=""),"",E7)</f>
        <v/>
      </c>
      <c r="C8" s="2">
        <f>IF(OR(G7="SI",B7=""),"",-5+B8^3-2*B8)</f>
        <v/>
      </c>
      <c r="D8" s="2">
        <f>IF(OR(G7="SI",B7=""),"",10)</f>
        <v/>
      </c>
      <c r="E8" s="2">
        <f>IF(OR(G7="SI",B7=""),"",B8-(C8/D8))</f>
        <v/>
      </c>
      <c r="F8" s="2">
        <f>IF(OR(G7="SI",B7=""),"",ABS((E8-B8)/E8)*100)</f>
        <v/>
      </c>
      <c r="G8" s="2">
        <f>IF(OR(G7="SI",B7=""),"",IF(F8&lt;0.00001,"SI","NO"))</f>
        <v/>
      </c>
    </row>
    <row r="9" ht="17.25" customHeight="1">
      <c r="A9" s="4" t="inlineStr">
        <is>
          <t>MÉTODO DE VON MISES  —  f(x) = x³ - 2x - 5</t>
        </is>
      </c>
    </row>
    <row r="10" ht="15" customHeight="1">
      <c r="A10" s="5" t="inlineStr">
        <is>
          <t>Ecuación:</t>
        </is>
      </c>
      <c r="B10" s="6" t="inlineStr">
        <is>
          <t>f(x) = x³ - 2x - 5</t>
        </is>
      </c>
      <c r="D10" s="5" t="inlineStr">
        <is>
          <t>f'(x₀):</t>
        </is>
      </c>
      <c r="E10" s="6" t="inlineStr">
        <is>
          <t>10</t>
        </is>
      </c>
    </row>
    <row r="11" ht="15" customHeight="1">
      <c r="A11" s="5" t="inlineStr">
        <is>
          <t>f(x) =</t>
        </is>
      </c>
      <c r="B11" s="6" t="inlineStr">
        <is>
          <t>x³ - 2x - 5</t>
        </is>
      </c>
      <c r="C11" s="5" t="inlineStr">
        <is>
          <t>f'(x) =</t>
        </is>
      </c>
      <c r="D11" s="6" t="inlineStr">
        <is>
          <t>3x² - 2</t>
        </is>
      </c>
    </row>
  </sheetData>
  <mergeCells count="1">
    <mergeCell ref="A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2026-06-11T21:02:24Z</dcterms:created>
  <dcterms:modified xsi:type="dcterms:W3CDTF">2026-06-11T21:02:25Z</dcterms:modified>
</cp:coreProperties>
</file>