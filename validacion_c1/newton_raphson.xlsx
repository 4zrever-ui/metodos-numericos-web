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ton-Raph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3455DB"/>
      <sz val="11"/>
    </font>
  </fonts>
  <fills count="5">
    <fill>
      <patternFill/>
    </fill>
    <fill>
      <patternFill patternType="gray125"/>
    </fill>
    <fill>
      <patternFill patternType="solid">
        <fgColor rgb="00D6DBFF"/>
        <bgColor rgb="00D6DBFF"/>
      </patternFill>
    </fill>
    <fill>
      <patternFill patternType="solid">
        <fgColor rgb="00EEF0FF"/>
        <bgColor rgb="00EEF0FF"/>
      </patternFill>
    </fill>
    <fill>
      <patternFill patternType="solid">
        <fgColor rgb="001F3A93"/>
        <bgColor rgb="001F3A9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f'(xₖ)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-5+B2^3-2*B2</f>
        <v/>
      </c>
      <c r="D2" s="2">
        <f>-2+3*B2^2</f>
        <v/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 ht="15" customHeight="1">
      <c r="A3" s="3" t="n">
        <v>1</v>
      </c>
      <c r="B3" s="3">
        <f>IF(G2="SI","",E2)</f>
        <v/>
      </c>
      <c r="C3" s="3">
        <f>IF(G2="SI","",-5+B3^3-2*B3)</f>
        <v/>
      </c>
      <c r="D3" s="3">
        <f>IF(G2="SI","",-2+3*B3^2)</f>
        <v/>
      </c>
      <c r="E3" s="3">
        <f>IF(G2="SI","",B3-(C3/D3))</f>
        <v/>
      </c>
      <c r="F3" s="3">
        <f>IF(G2="SI","",ABS((E3-B3)/E3)*100)</f>
        <v/>
      </c>
      <c r="G3" s="3">
        <f>IF(G2="SI","",IF(F3&lt;0.00001,"SI","NO"))</f>
        <v/>
      </c>
    </row>
    <row r="4" ht="15" customHeight="1">
      <c r="A4" s="2" t="n">
        <v>2</v>
      </c>
      <c r="B4" s="2">
        <f>IF(OR(G3="SI",B3=""),"",E3)</f>
        <v/>
      </c>
      <c r="C4" s="2">
        <f>IF(OR(G3="SI",B3=""),"",-5+B4^3-2*B4)</f>
        <v/>
      </c>
      <c r="D4" s="2">
        <f>IF(OR(G3="SI",B3=""),"",-2+3*B4^2)</f>
        <v/>
      </c>
      <c r="E4" s="2">
        <f>IF(OR(G3="SI",B3=""),"",B4-(C4/D4))</f>
        <v/>
      </c>
      <c r="F4" s="2">
        <f>IF(OR(G3="SI",B3=""),"",ABS((E4-B4)/E4)*100)</f>
        <v/>
      </c>
      <c r="G4" s="2">
        <f>IF(OR(G3="SI",B3=""),"",IF(F4&lt;0.00001,"SI","NO"))</f>
        <v/>
      </c>
    </row>
    <row r="5" ht="15" customHeight="1">
      <c r="A5" s="3" t="n">
        <v>3</v>
      </c>
      <c r="B5" s="3">
        <f>IF(OR(G4="SI",B4=""),"",E4)</f>
        <v/>
      </c>
      <c r="C5" s="3">
        <f>IF(OR(G4="SI",B4=""),"",-5+B5^3-2*B5)</f>
        <v/>
      </c>
      <c r="D5" s="3">
        <f>IF(OR(G4="SI",B4=""),"",-2+3*B5^2)</f>
        <v/>
      </c>
      <c r="E5" s="3">
        <f>IF(OR(G4="SI",B4=""),"",B5-(C5/D5))</f>
        <v/>
      </c>
      <c r="F5" s="3">
        <f>IF(OR(G4="SI",B4=""),"",ABS((E5-B5)/E5)*100)</f>
        <v/>
      </c>
      <c r="G5" s="3">
        <f>IF(OR(G4="SI",B4=""),"",IF(F5&lt;0.00001,"SI","NO"))</f>
        <v/>
      </c>
    </row>
    <row r="6" ht="17.25" customHeight="1">
      <c r="A6" s="4" t="inlineStr">
        <is>
          <t>MÉTODO DE NEWTON-RAPHSON  —  f(x) = x³ - 2x - 5</t>
        </is>
      </c>
    </row>
    <row r="7" ht="15" customHeight="1">
      <c r="A7" s="5" t="inlineStr">
        <is>
          <t>Ecuación:</t>
        </is>
      </c>
      <c r="B7" s="6" t="inlineStr">
        <is>
          <t>f(x) = x³ - 2x - 5</t>
        </is>
      </c>
      <c r="D7" s="5" t="inlineStr">
        <is>
          <t>Fórmula:</t>
        </is>
      </c>
      <c r="E7" s="6" t="inlineStr">
        <is>
          <t>xₙ₊₁ = xₙ − f(xₙ)/f'(xₙ)</t>
        </is>
      </c>
    </row>
    <row r="8" ht="15" customHeight="1">
      <c r="A8" s="5" t="inlineStr">
        <is>
          <t>f(x) =</t>
        </is>
      </c>
      <c r="B8" s="6" t="inlineStr">
        <is>
          <t>x³ - 2x - 5</t>
        </is>
      </c>
      <c r="C8" s="5" t="inlineStr">
        <is>
          <t>f'(x) =</t>
        </is>
      </c>
      <c r="D8" s="6" t="inlineStr">
        <is>
          <t>3x² - 2</t>
        </is>
      </c>
    </row>
  </sheetData>
  <mergeCells count="1"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2026-06-11T20:28:24Z</dcterms:created>
  <dcterms:modified xsi:type="dcterms:W3CDTF">2026-06-11T20:28:24Z</dcterms:modified>
</cp:coreProperties>
</file>