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4D6A1F"/>
      <sz val="11"/>
    </font>
  </fonts>
  <fills count="5">
    <fill>
      <patternFill/>
    </fill>
    <fill>
      <patternFill patternType="gray125"/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f'(xₖ)</t>
        </is>
      </c>
      <c r="E1" s="1" t="inlineStr">
        <is>
          <t>f''(xₖ)</t>
        </is>
      </c>
      <c r="F1" s="1" t="inlineStr">
        <is>
          <t>xₖ₊₁</t>
        </is>
      </c>
      <c r="G1" s="1" t="inlineStr">
        <is>
          <t>Error %</t>
        </is>
      </c>
      <c r="H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>
        <f>-2+3*B2^2</f>
        <v/>
      </c>
      <c r="E2" s="2">
        <f>$B$13</f>
        <v/>
      </c>
      <c r="F2" s="2">
        <f>B2-(C2/(D2-(E2*C2)/(2*D2)))</f>
        <v/>
      </c>
      <c r="G2" s="2">
        <f>ABS((F2-B2)/F2)*100</f>
        <v/>
      </c>
      <c r="H2" s="2">
        <f>IF(G2&lt;0.00001,"SI","NO")</f>
        <v/>
      </c>
    </row>
    <row r="3" ht="15" customHeight="1">
      <c r="A3" s="3" t="n">
        <v>1</v>
      </c>
      <c r="B3" s="3">
        <f>IF(H2="SI","",F2)</f>
        <v/>
      </c>
      <c r="C3" s="3">
        <f>IF(H2="SI","",-5+B3^3-2*B3)</f>
        <v/>
      </c>
      <c r="D3" s="3">
        <f>IF(H2="SI","",-2+3*B3^2)</f>
        <v/>
      </c>
      <c r="E3" s="3">
        <f>IF(H2="SI","",$B$13)</f>
        <v/>
      </c>
      <c r="F3" s="3">
        <f>IF(H2="SI","",B3-(C3/(D3-(E3*C3)/(2*D3))))</f>
        <v/>
      </c>
      <c r="G3" s="3">
        <f>IF(H2="SI","",ABS((F3-B3)/F3)*100)</f>
        <v/>
      </c>
      <c r="H3" s="3">
        <f>IF(H2="SI","",IF(G3&lt;0.00001,"SI","NO"))</f>
        <v/>
      </c>
    </row>
    <row r="4" ht="15" customHeight="1">
      <c r="A4" s="2" t="n">
        <v>2</v>
      </c>
      <c r="B4" s="2">
        <f>IF(OR(H3="SI",B3=""),"",F3)</f>
        <v/>
      </c>
      <c r="C4" s="2">
        <f>IF(OR(H3="SI",B3=""),"",-5+B4^3-2*B4)</f>
        <v/>
      </c>
      <c r="D4" s="2">
        <f>IF(OR(H3="SI",B3=""),"",-2+3*B4^2)</f>
        <v/>
      </c>
      <c r="E4" s="2">
        <f>IF(OR(H3="SI",B3=""),"",$B$13)</f>
        <v/>
      </c>
      <c r="F4" s="2">
        <f>IF(OR(H3="SI",B3=""),"",B4-(C4/(D4-(E4*C4)/(2*D4))))</f>
        <v/>
      </c>
      <c r="G4" s="2">
        <f>IF(OR(H3="SI",B3=""),"",ABS((F4-B4)/F4)*100)</f>
        <v/>
      </c>
      <c r="H4" s="2">
        <f>IF(OR(H3="SI",B3=""),"",IF(G4&lt;0.00001,"SI","NO"))</f>
        <v/>
      </c>
    </row>
    <row r="5" ht="17.25" customHeight="1">
      <c r="A5" s="4" t="inlineStr">
        <is>
          <t>MÉTODO DE HALLEY  —  f(x) = x³ - 2x - 5</t>
        </is>
      </c>
    </row>
    <row r="6" ht="15" customHeight="1">
      <c r="A6" s="5" t="inlineStr">
        <is>
          <t>Ecuación:</t>
        </is>
      </c>
      <c r="B6" s="6" t="inlineStr">
        <is>
          <t>f(x) = x³ - 2x - 5</t>
        </is>
      </c>
    </row>
    <row r="7" ht="15" customHeight="1">
      <c r="A7" s="5" t="inlineStr">
        <is>
          <t>f(x) =</t>
        </is>
      </c>
      <c r="B7" s="6" t="inlineStr">
        <is>
          <t>x³ - 2x - 5</t>
        </is>
      </c>
      <c r="C7" s="5" t="inlineStr">
        <is>
          <t>f'(x) =</t>
        </is>
      </c>
      <c r="D7" s="6" t="inlineStr">
        <is>
          <t>3x² - 2</t>
        </is>
      </c>
      <c r="E7" s="5" t="inlineStr">
        <is>
          <t>f''(x) =</t>
        </is>
      </c>
      <c r="F7" s="6" t="inlineStr">
        <is>
          <t>6x</t>
        </is>
      </c>
    </row>
    <row r="13">
      <c r="B13" t="n">
        <v>12</v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2026-06-11T20:28:24Z</dcterms:created>
  <dcterms:modified xsi:type="dcterms:W3CDTF">2026-06-11T20:28:24Z</dcterms:modified>
</cp:coreProperties>
</file>