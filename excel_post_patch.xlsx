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ección" sheetId="1" state="visible" r:id="rId1"/>
    <sheet xmlns:r="http://schemas.openxmlformats.org/officeDocument/2006/relationships" name="Regula Falsi" sheetId="2" state="visible" r:id="rId2"/>
    <sheet xmlns:r="http://schemas.openxmlformats.org/officeDocument/2006/relationships" name="Punto Fijo" sheetId="3" state="visible" r:id="rId3"/>
    <sheet xmlns:r="http://schemas.openxmlformats.org/officeDocument/2006/relationships" name="Aitken" sheetId="4" state="visible" r:id="rId4"/>
    <sheet xmlns:r="http://schemas.openxmlformats.org/officeDocument/2006/relationships" name="Steffensen" sheetId="5" state="visible" r:id="rId5"/>
    <sheet xmlns:r="http://schemas.openxmlformats.org/officeDocument/2006/relationships" name="Newton-Raphson" sheetId="6" state="visible" r:id="rId6"/>
    <sheet xmlns:r="http://schemas.openxmlformats.org/officeDocument/2006/relationships" name="Newton Modificado" sheetId="7" state="visible" r:id="rId7"/>
    <sheet xmlns:r="http://schemas.openxmlformats.org/officeDocument/2006/relationships" name="Newton 2do Orden" sheetId="8" state="visible" r:id="rId8"/>
    <sheet xmlns:r="http://schemas.openxmlformats.org/officeDocument/2006/relationships" name="Chebyshev" sheetId="9" state="visible" r:id="rId9"/>
    <sheet xmlns:r="http://schemas.openxmlformats.org/officeDocument/2006/relationships" name="Halley" sheetId="10" state="visible" r:id="rId10"/>
    <sheet xmlns:r="http://schemas.openxmlformats.org/officeDocument/2006/relationships" name="Super Halley" sheetId="11" state="visible" r:id="rId11"/>
    <sheet xmlns:r="http://schemas.openxmlformats.org/officeDocument/2006/relationships" name="Ostrowsky" sheetId="12" state="visible" r:id="rId12"/>
    <sheet xmlns:r="http://schemas.openxmlformats.org/officeDocument/2006/relationships" name="Secante" sheetId="13" state="visible" r:id="rId13"/>
    <sheet xmlns:r="http://schemas.openxmlformats.org/officeDocument/2006/relationships" name="Von Mi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2E86C1"/>
      <sz val="11"/>
    </font>
    <font>
      <name val="Calibri"/>
      <color rgb="00147F57"/>
      <sz val="11"/>
    </font>
    <font>
      <name val="Calibri"/>
      <color rgb="006C3483"/>
      <sz val="11"/>
    </font>
    <font>
      <name val="Calibri"/>
      <color rgb="003455DB"/>
      <sz val="11"/>
    </font>
    <font>
      <name val="Calibri"/>
      <color rgb="00922B21"/>
      <sz val="11"/>
    </font>
    <font>
      <name val="Calibri"/>
      <color rgb="000D553B"/>
      <sz val="11"/>
    </font>
    <font>
      <name val="Calibri"/>
      <color rgb="00174969"/>
      <sz val="11"/>
    </font>
    <font>
      <name val="Calibri"/>
      <color rgb="004D6A1F"/>
      <sz val="11"/>
    </font>
    <font>
      <name val="Calibri"/>
      <color rgb="007B241C"/>
      <sz val="11"/>
    </font>
    <font>
      <name val="Calibri"/>
      <color rgb="004A235A"/>
      <sz val="11"/>
    </font>
  </fonts>
  <fills count="31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EAFAF1"/>
        <bgColor rgb="00EAFAF1"/>
      </patternFill>
    </fill>
    <fill>
      <patternFill patternType="solid">
        <fgColor rgb="00147F57"/>
        <bgColor rgb="00147F57"/>
      </patternFill>
    </fill>
    <fill>
      <patternFill patternType="solid">
        <fgColor rgb="00E8DAEF"/>
        <bgColor rgb="00E8DAEF"/>
      </patternFill>
    </fill>
    <fill>
      <patternFill patternType="solid">
        <fgColor rgb="00F4EBFD"/>
        <bgColor rgb="00F4EBFD"/>
      </patternFill>
    </fill>
    <fill>
      <patternFill patternType="solid">
        <fgColor rgb="006C3483"/>
        <bgColor rgb="006C3483"/>
      </patternFill>
    </fill>
    <fill>
      <patternFill patternType="solid">
        <fgColor rgb="00D1F2EB"/>
        <bgColor rgb="00D1F2EB"/>
      </patternFill>
    </fill>
    <fill>
      <patternFill patternType="solid">
        <fgColor rgb="00E8F8F5"/>
        <bgColor rgb="00E8F8F5"/>
      </patternFill>
    </fill>
    <fill>
      <patternFill patternType="solid">
        <fgColor rgb="00D3EAFD"/>
        <bgColor rgb="00D3EAFD"/>
      </patternFill>
    </fill>
    <fill>
      <patternFill patternType="solid">
        <fgColor rgb="00D6DBFF"/>
        <bgColor rgb="00D6DBFF"/>
      </patternFill>
    </fill>
    <fill>
      <patternFill patternType="solid">
        <fgColor rgb="00EEF0FF"/>
        <bgColor rgb="00EEF0FF"/>
      </patternFill>
    </fill>
    <fill>
      <patternFill patternType="solid">
        <fgColor rgb="001F3A93"/>
        <bgColor rgb="001F3A93"/>
      </patternFill>
    </fill>
    <fill>
      <patternFill patternType="solid">
        <fgColor rgb="00E74C3C"/>
        <bgColor rgb="00E74C3C"/>
      </patternFill>
    </fill>
    <fill>
      <patternFill patternType="solid">
        <fgColor rgb="00FADBD8"/>
        <bgColor rgb="00FADBD8"/>
      </patternFill>
    </fill>
    <fill>
      <patternFill patternType="solid">
        <fgColor rgb="00FDEDEC"/>
        <bgColor rgb="00FDEDEC"/>
      </patternFill>
    </fill>
    <fill>
      <patternFill patternType="solid">
        <fgColor rgb="00922B21"/>
        <bgColor rgb="00922B21"/>
      </patternFill>
    </fill>
    <fill>
      <patternFill patternType="solid">
        <fgColor rgb="000D553B"/>
        <bgColor rgb="000D553B"/>
      </patternFill>
    </fill>
    <fill>
      <patternFill patternType="solid">
        <fgColor rgb="00D2E4F8"/>
        <bgColor rgb="00D2E4F8"/>
      </patternFill>
    </fill>
    <fill>
      <patternFill patternType="solid">
        <fgColor rgb="00174969"/>
        <bgColor rgb="00174969"/>
      </patternFill>
    </fill>
    <fill>
      <patternFill patternType="solid">
        <fgColor rgb="00E8F5D6"/>
        <bgColor rgb="00E8F5D6"/>
      </patternFill>
    </fill>
    <fill>
      <patternFill patternType="solid">
        <fgColor rgb="00F0FAE8"/>
        <bgColor rgb="00F0FAE8"/>
      </patternFill>
    </fill>
    <fill>
      <patternFill patternType="solid">
        <fgColor rgb="004D6A1F"/>
        <bgColor rgb="004D6A1F"/>
      </patternFill>
    </fill>
    <fill>
      <patternFill patternType="solid">
        <fgColor rgb="00FEF5F5"/>
        <bgColor rgb="00FEF5F5"/>
      </patternFill>
    </fill>
    <fill>
      <patternFill patternType="solid">
        <fgColor rgb="007B241C"/>
        <bgColor rgb="007B241C"/>
      </patternFill>
    </fill>
    <fill>
      <patternFill patternType="solid">
        <fgColor rgb="00F5EEF8"/>
        <bgColor rgb="00F5EEF8"/>
      </patternFill>
    </fill>
    <fill>
      <patternFill patternType="solid">
        <fgColor rgb="004A235A"/>
        <bgColor rgb="004A235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2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1" fillId="13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vertical="center"/>
    </xf>
    <xf numFmtId="0" fontId="1" fillId="14" borderId="1" applyAlignment="1" pivotButton="0" quotePrefix="0" xfId="0">
      <alignment vertical="center"/>
    </xf>
    <xf numFmtId="0" fontId="2" fillId="1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1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vertical="center"/>
    </xf>
    <xf numFmtId="0" fontId="1" fillId="19" borderId="1" applyAlignment="1" pivotButton="0" quotePrefix="0" xfId="0">
      <alignment vertical="center"/>
    </xf>
    <xf numFmtId="0" fontId="2" fillId="2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2" fillId="2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1" fillId="22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vertical="center"/>
    </xf>
    <xf numFmtId="0" fontId="2" fillId="2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1" fillId="24" borderId="1" applyAlignment="1" pivotButton="0" quotePrefix="0" xfId="0">
      <alignment horizontal="center" vertical="center" wrapText="1"/>
    </xf>
    <xf numFmtId="0" fontId="1" fillId="25" borderId="1" applyAlignment="1" pivotButton="0" quotePrefix="0" xfId="0">
      <alignment vertical="center"/>
    </xf>
    <xf numFmtId="0" fontId="1" fillId="24" borderId="1" applyAlignment="1" pivotButton="0" quotePrefix="0" xfId="0">
      <alignment vertical="center"/>
    </xf>
    <xf numFmtId="0" fontId="2" fillId="2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" fillId="18" borderId="1" applyAlignment="1" pivotButton="0" quotePrefix="0" xfId="0">
      <alignment horizontal="center" vertical="center" wrapText="1"/>
    </xf>
    <xf numFmtId="0" fontId="1" fillId="27" borderId="1" applyAlignment="1" pivotButton="0" quotePrefix="0" xfId="0">
      <alignment vertical="center"/>
    </xf>
    <xf numFmtId="0" fontId="2" fillId="2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0" fontId="1" fillId="29" borderId="1" applyAlignment="1" pivotButton="0" quotePrefix="0" xfId="0">
      <alignment vertical="center"/>
    </xf>
    <xf numFmtId="0" fontId="2" fillId="3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1" t="inlineStr">
        <is>
          <t>k</t>
        </is>
      </c>
      <c r="B1" s="1" t="inlineStr">
        <is>
          <t>a</t>
        </is>
      </c>
      <c r="C1" s="1" t="inlineStr">
        <is>
          <t>c=(a+b)/2</t>
        </is>
      </c>
      <c r="D1" s="1" t="inlineStr">
        <is>
          <t>b</t>
        </is>
      </c>
      <c r="E1" s="1" t="inlineStr">
        <is>
          <t>f(a)</t>
        </is>
      </c>
      <c r="F1" s="1" t="inlineStr">
        <is>
          <t>f(c)</t>
        </is>
      </c>
      <c r="G1" s="1" t="inlineStr">
        <is>
          <t>f(b)</t>
        </is>
      </c>
      <c r="H1" s="1" t="inlineStr">
        <is>
          <t>f(a)·f(c)</t>
        </is>
      </c>
      <c r="I1" s="1" t="inlineStr">
        <is>
          <t>Error %</t>
        </is>
      </c>
      <c r="J1" s="1" t="inlineStr">
        <is>
          <t>Convergencia</t>
        </is>
      </c>
    </row>
    <row r="2" ht="15" customHeight="1">
      <c r="A2" s="2" t="n">
        <v>0</v>
      </c>
      <c r="B2" s="2" t="n">
        <v>1</v>
      </c>
      <c r="C2" s="2">
        <f>(B2+D2)/2</f>
        <v/>
      </c>
      <c r="D2" s="2" t="n">
        <v>2</v>
      </c>
      <c r="E2" s="2">
        <f>-5+B2-2*B2</f>
        <v/>
      </c>
      <c r="F2" s="2">
        <f>-5+C2-2*C2</f>
        <v/>
      </c>
      <c r="G2" s="2">
        <f>-5+D2-2*D2</f>
        <v/>
      </c>
      <c r="H2" s="2">
        <f>E2*F2</f>
        <v/>
      </c>
      <c r="I2" s="2" t="inlineStr"/>
      <c r="J2" s="2" t="inlineStr"/>
    </row>
    <row r="3" ht="15" customHeight="1">
      <c r="A3" s="3" t="n">
        <v>1</v>
      </c>
      <c r="B3" s="3">
        <f>IF(E2*F2&lt;0,B2,C2)</f>
        <v/>
      </c>
      <c r="C3" s="3">
        <f>(B3+D3)/2</f>
        <v/>
      </c>
      <c r="D3" s="3">
        <f>IF(E2*F2&lt;0,C2,D2)</f>
        <v/>
      </c>
      <c r="E3" s="3">
        <f>-5+B3-2*B3</f>
        <v/>
      </c>
      <c r="F3" s="3">
        <f>-5+C3-2*C3</f>
        <v/>
      </c>
      <c r="G3" s="3">
        <f>-5+D3-2*D3</f>
        <v/>
      </c>
      <c r="H3" s="3">
        <f>E3*F3</f>
        <v/>
      </c>
      <c r="I3" s="3">
        <f>ABS((C3-C2)/C3)*100</f>
        <v/>
      </c>
      <c r="J3" s="3">
        <f>IF(I3&lt;0.00001,"SI","NO")</f>
        <v/>
      </c>
    </row>
    <row r="4" ht="15" customHeight="1">
      <c r="A4" s="2" t="n">
        <v>2</v>
      </c>
      <c r="B4" s="2">
        <f>IF(E3*F3&lt;0,B3,C3)</f>
        <v/>
      </c>
      <c r="C4" s="2">
        <f>(B4+D4)/2</f>
        <v/>
      </c>
      <c r="D4" s="2">
        <f>IF(E3*F3&lt;0,C3,D3)</f>
        <v/>
      </c>
      <c r="E4" s="2">
        <f>-5+B4-2*B4</f>
        <v/>
      </c>
      <c r="F4" s="2">
        <f>-5+C4-2*C4</f>
        <v/>
      </c>
      <c r="G4" s="2">
        <f>-5+D4-2*D4</f>
        <v/>
      </c>
      <c r="H4" s="2">
        <f>E4*F4</f>
        <v/>
      </c>
      <c r="I4" s="2">
        <f>ABS((C4-C3)/C4)*100</f>
        <v/>
      </c>
      <c r="J4" s="2">
        <f>IF(I4&lt;0.00001,"SI","NO")</f>
        <v/>
      </c>
    </row>
    <row r="5" ht="15" customHeight="1">
      <c r="A5" s="3" t="n">
        <v>3</v>
      </c>
      <c r="B5" s="3">
        <f>IF(E4*F4&lt;0,B4,C4)</f>
        <v/>
      </c>
      <c r="C5" s="3">
        <f>(B5+D5)/2</f>
        <v/>
      </c>
      <c r="D5" s="3">
        <f>IF(E4*F4&lt;0,C4,D4)</f>
        <v/>
      </c>
      <c r="E5" s="3">
        <f>-5+B5-2*B5</f>
        <v/>
      </c>
      <c r="F5" s="3">
        <f>-5+C5-2*C5</f>
        <v/>
      </c>
      <c r="G5" s="3">
        <f>-5+D5-2*D5</f>
        <v/>
      </c>
      <c r="H5" s="3">
        <f>E5*F5</f>
        <v/>
      </c>
      <c r="I5" s="3">
        <f>ABS((C5-C4)/C5)*100</f>
        <v/>
      </c>
      <c r="J5" s="3">
        <f>IF(I5&lt;0.00001,"SI","NO")</f>
        <v/>
      </c>
    </row>
    <row r="6" ht="15" customHeight="1">
      <c r="A6" s="2" t="n">
        <v>4</v>
      </c>
      <c r="B6" s="2">
        <f>IF(E5*F5&lt;0,B5,C5)</f>
        <v/>
      </c>
      <c r="C6" s="2">
        <f>(B6+D6)/2</f>
        <v/>
      </c>
      <c r="D6" s="2">
        <f>IF(E5*F5&lt;0,C5,D5)</f>
        <v/>
      </c>
      <c r="E6" s="2">
        <f>-5+B6-2*B6</f>
        <v/>
      </c>
      <c r="F6" s="2">
        <f>-5+C6-2*C6</f>
        <v/>
      </c>
      <c r="G6" s="2">
        <f>-5+D6-2*D6</f>
        <v/>
      </c>
      <c r="H6" s="2">
        <f>E6*F6</f>
        <v/>
      </c>
      <c r="I6" s="2">
        <f>ABS((C6-C5)/C6)*100</f>
        <v/>
      </c>
      <c r="J6" s="2">
        <f>IF(I6&lt;0.00001,"SI","NO")</f>
        <v/>
      </c>
    </row>
    <row r="7" ht="15" customHeight="1">
      <c r="A7" s="3" t="n">
        <v>5</v>
      </c>
      <c r="B7" s="3">
        <f>IF(E6*F6&lt;0,B6,C6)</f>
        <v/>
      </c>
      <c r="C7" s="3">
        <f>(B7+D7)/2</f>
        <v/>
      </c>
      <c r="D7" s="3">
        <f>IF(E6*F6&lt;0,C6,D6)</f>
        <v/>
      </c>
      <c r="E7" s="3">
        <f>-5+B7-2*B7</f>
        <v/>
      </c>
      <c r="F7" s="3">
        <f>-5+C7-2*C7</f>
        <v/>
      </c>
      <c r="G7" s="3">
        <f>-5+D7-2*D7</f>
        <v/>
      </c>
      <c r="H7" s="3">
        <f>E7*F7</f>
        <v/>
      </c>
      <c r="I7" s="3">
        <f>ABS((C7-C6)/C7)*100</f>
        <v/>
      </c>
      <c r="J7" s="3">
        <f>IF(I7&lt;0.00001,"SI","NO")</f>
        <v/>
      </c>
    </row>
    <row r="8" ht="15" customHeight="1">
      <c r="A8" s="2" t="n">
        <v>6</v>
      </c>
      <c r="B8" s="2">
        <f>IF(E7*F7&lt;0,B7,C7)</f>
        <v/>
      </c>
      <c r="C8" s="2">
        <f>(B8+D8)/2</f>
        <v/>
      </c>
      <c r="D8" s="2">
        <f>IF(E7*F7&lt;0,C7,D7)</f>
        <v/>
      </c>
      <c r="E8" s="2">
        <f>-5+B8-2*B8</f>
        <v/>
      </c>
      <c r="F8" s="2">
        <f>-5+C8-2*C8</f>
        <v/>
      </c>
      <c r="G8" s="2">
        <f>-5+D8-2*D8</f>
        <v/>
      </c>
      <c r="H8" s="2">
        <f>E8*F8</f>
        <v/>
      </c>
      <c r="I8" s="2">
        <f>ABS((C8-C7)/C8)*100</f>
        <v/>
      </c>
      <c r="J8" s="2">
        <f>IF(I8&lt;0.00001,"SI","NO")</f>
        <v/>
      </c>
    </row>
    <row r="9" ht="15" customHeight="1">
      <c r="A9" s="3" t="n">
        <v>7</v>
      </c>
      <c r="B9" s="3">
        <f>IF(E8*F8&lt;0,B8,C8)</f>
        <v/>
      </c>
      <c r="C9" s="3">
        <f>(B9+D9)/2</f>
        <v/>
      </c>
      <c r="D9" s="3">
        <f>IF(E8*F8&lt;0,C8,D8)</f>
        <v/>
      </c>
      <c r="E9" s="3">
        <f>-5+B9-2*B9</f>
        <v/>
      </c>
      <c r="F9" s="3">
        <f>-5+C9-2*C9</f>
        <v/>
      </c>
      <c r="G9" s="3">
        <f>-5+D9-2*D9</f>
        <v/>
      </c>
      <c r="H9" s="3">
        <f>E9*F9</f>
        <v/>
      </c>
      <c r="I9" s="3">
        <f>ABS((C9-C8)/C9)*100</f>
        <v/>
      </c>
      <c r="J9" s="3">
        <f>IF(I9&lt;0.00001,"SI","NO")</f>
        <v/>
      </c>
    </row>
    <row r="10" ht="15" customHeight="1">
      <c r="A10" s="2" t="n">
        <v>8</v>
      </c>
      <c r="B10" s="2">
        <f>IF(E9*F9&lt;0,B9,C9)</f>
        <v/>
      </c>
      <c r="C10" s="2">
        <f>(B10+D10)/2</f>
        <v/>
      </c>
      <c r="D10" s="2">
        <f>IF(E9*F9&lt;0,C9,D9)</f>
        <v/>
      </c>
      <c r="E10" s="2">
        <f>-5+B10-2*B10</f>
        <v/>
      </c>
      <c r="F10" s="2">
        <f>-5+C10-2*C10</f>
        <v/>
      </c>
      <c r="G10" s="2">
        <f>-5+D10-2*D10</f>
        <v/>
      </c>
      <c r="H10" s="2">
        <f>E10*F10</f>
        <v/>
      </c>
      <c r="I10" s="2">
        <f>ABS((C10-C9)/C10)*100</f>
        <v/>
      </c>
      <c r="J10" s="2">
        <f>IF(I10&lt;0.00001,"SI","NO")</f>
        <v/>
      </c>
    </row>
    <row r="11" ht="15" customHeight="1">
      <c r="A11" s="3" t="n">
        <v>9</v>
      </c>
      <c r="B11" s="3">
        <f>IF(E10*F10&lt;0,B10,C10)</f>
        <v/>
      </c>
      <c r="C11" s="3">
        <f>(B11+D11)/2</f>
        <v/>
      </c>
      <c r="D11" s="3">
        <f>IF(E10*F10&lt;0,C10,D10)</f>
        <v/>
      </c>
      <c r="E11" s="3">
        <f>-5+B11-2*B11</f>
        <v/>
      </c>
      <c r="F11" s="3">
        <f>-5+C11-2*C11</f>
        <v/>
      </c>
      <c r="G11" s="3">
        <f>-5+D11-2*D11</f>
        <v/>
      </c>
      <c r="H11" s="3">
        <f>E11*F11</f>
        <v/>
      </c>
      <c r="I11" s="3">
        <f>ABS((C11-C10)/C11)*100</f>
        <v/>
      </c>
      <c r="J11" s="3">
        <f>IF(I11&lt;0.00001,"SI","NO")</f>
        <v/>
      </c>
    </row>
    <row r="12" ht="15" customHeight="1">
      <c r="A12" s="2" t="n">
        <v>10</v>
      </c>
      <c r="B12" s="2">
        <f>IF(E11*F11&lt;0,B11,C11)</f>
        <v/>
      </c>
      <c r="C12" s="2">
        <f>(B12+D12)/2</f>
        <v/>
      </c>
      <c r="D12" s="2">
        <f>IF(E11*F11&lt;0,C11,D11)</f>
        <v/>
      </c>
      <c r="E12" s="2">
        <f>-5+B12-2*B12</f>
        <v/>
      </c>
      <c r="F12" s="2">
        <f>-5+C12-2*C12</f>
        <v/>
      </c>
      <c r="G12" s="2">
        <f>-5+D12-2*D12</f>
        <v/>
      </c>
      <c r="H12" s="2">
        <f>E12*F12</f>
        <v/>
      </c>
      <c r="I12" s="2">
        <f>ABS((C12-C11)/C12)*100</f>
        <v/>
      </c>
      <c r="J12" s="2">
        <f>IF(I12&lt;0.00001,"SI","NO")</f>
        <v/>
      </c>
    </row>
    <row r="13" ht="15" customHeight="1">
      <c r="A13" s="3" t="n">
        <v>11</v>
      </c>
      <c r="B13" s="3">
        <f>IF(E12*F12&lt;0,B12,C12)</f>
        <v/>
      </c>
      <c r="C13" s="3">
        <f>(B13+D13)/2</f>
        <v/>
      </c>
      <c r="D13" s="3">
        <f>IF(E12*F12&lt;0,C12,D12)</f>
        <v/>
      </c>
      <c r="E13" s="3">
        <f>-5+B13-2*B13</f>
        <v/>
      </c>
      <c r="F13" s="3">
        <f>-5+C13-2*C13</f>
        <v/>
      </c>
      <c r="G13" s="3">
        <f>-5+D13-2*D13</f>
        <v/>
      </c>
      <c r="H13" s="3">
        <f>E13*F13</f>
        <v/>
      </c>
      <c r="I13" s="3">
        <f>ABS((C13-C12)/C13)*100</f>
        <v/>
      </c>
      <c r="J13" s="3">
        <f>IF(I13&lt;0.00001,"SI","NO")</f>
        <v/>
      </c>
    </row>
    <row r="14" ht="15" customHeight="1">
      <c r="A14" s="2" t="n">
        <v>12</v>
      </c>
      <c r="B14" s="2">
        <f>IF(E13*F13&lt;0,B13,C13)</f>
        <v/>
      </c>
      <c r="C14" s="2">
        <f>(B14+D14)/2</f>
        <v/>
      </c>
      <c r="D14" s="2">
        <f>IF(E13*F13&lt;0,C13,D13)</f>
        <v/>
      </c>
      <c r="E14" s="2">
        <f>-5+B14-2*B14</f>
        <v/>
      </c>
      <c r="F14" s="2">
        <f>-5+C14-2*C14</f>
        <v/>
      </c>
      <c r="G14" s="2">
        <f>-5+D14-2*D14</f>
        <v/>
      </c>
      <c r="H14" s="2">
        <f>E14*F14</f>
        <v/>
      </c>
      <c r="I14" s="2">
        <f>ABS((C14-C13)/C14)*100</f>
        <v/>
      </c>
      <c r="J14" s="2">
        <f>IF(I14&lt;0.00001,"SI","NO")</f>
        <v/>
      </c>
    </row>
    <row r="15" ht="15" customHeight="1">
      <c r="A15" s="3" t="n">
        <v>13</v>
      </c>
      <c r="B15" s="3">
        <f>IF(E14*F14&lt;0,B14,C14)</f>
        <v/>
      </c>
      <c r="C15" s="3">
        <f>(B15+D15)/2</f>
        <v/>
      </c>
      <c r="D15" s="3">
        <f>IF(E14*F14&lt;0,C14,D14)</f>
        <v/>
      </c>
      <c r="E15" s="3">
        <f>-5+B15-2*B15</f>
        <v/>
      </c>
      <c r="F15" s="3">
        <f>-5+C15-2*C15</f>
        <v/>
      </c>
      <c r="G15" s="3">
        <f>-5+D15-2*D15</f>
        <v/>
      </c>
      <c r="H15" s="3">
        <f>E15*F15</f>
        <v/>
      </c>
      <c r="I15" s="3">
        <f>ABS((C15-C14)/C15)*100</f>
        <v/>
      </c>
      <c r="J15" s="3">
        <f>IF(I15&lt;0.00001,"SI","NO")</f>
        <v/>
      </c>
    </row>
    <row r="16" ht="15" customHeight="1">
      <c r="A16" s="2" t="n">
        <v>14</v>
      </c>
      <c r="B16" s="2">
        <f>IF(E15*F15&lt;0,B15,C15)</f>
        <v/>
      </c>
      <c r="C16" s="2">
        <f>(B16+D16)/2</f>
        <v/>
      </c>
      <c r="D16" s="2">
        <f>IF(E15*F15&lt;0,C15,D15)</f>
        <v/>
      </c>
      <c r="E16" s="2">
        <f>-5+B16-2*B16</f>
        <v/>
      </c>
      <c r="F16" s="2">
        <f>-5+C16-2*C16</f>
        <v/>
      </c>
      <c r="G16" s="2">
        <f>-5+D16-2*D16</f>
        <v/>
      </c>
      <c r="H16" s="2">
        <f>E16*F16</f>
        <v/>
      </c>
      <c r="I16" s="2">
        <f>ABS((C16-C15)/C16)*100</f>
        <v/>
      </c>
      <c r="J16" s="2">
        <f>IF(I16&lt;0.00001,"SI","NO")</f>
        <v/>
      </c>
    </row>
    <row r="17" ht="15" customHeight="1">
      <c r="A17" s="3" t="n">
        <v>15</v>
      </c>
      <c r="B17" s="3">
        <f>IF(E16*F16&lt;0,B16,C16)</f>
        <v/>
      </c>
      <c r="C17" s="3">
        <f>(B17+D17)/2</f>
        <v/>
      </c>
      <c r="D17" s="3">
        <f>IF(E16*F16&lt;0,C16,D16)</f>
        <v/>
      </c>
      <c r="E17" s="3">
        <f>-5+B17-2*B17</f>
        <v/>
      </c>
      <c r="F17" s="3">
        <f>-5+C17-2*C17</f>
        <v/>
      </c>
      <c r="G17" s="3">
        <f>-5+D17-2*D17</f>
        <v/>
      </c>
      <c r="H17" s="3">
        <f>E17*F17</f>
        <v/>
      </c>
      <c r="I17" s="3">
        <f>ABS((C17-C16)/C17)*100</f>
        <v/>
      </c>
      <c r="J17" s="3">
        <f>IF(I17&lt;0.00001,"SI","NO")</f>
        <v/>
      </c>
    </row>
    <row r="18" ht="15" customHeight="1">
      <c r="A18" s="2" t="n">
        <v>16</v>
      </c>
      <c r="B18" s="2">
        <f>IF(E17*F17&lt;0,B17,C17)</f>
        <v/>
      </c>
      <c r="C18" s="2">
        <f>(B18+D18)/2</f>
        <v/>
      </c>
      <c r="D18" s="2">
        <f>IF(E17*F17&lt;0,C17,D17)</f>
        <v/>
      </c>
      <c r="E18" s="2">
        <f>-5+B18-2*B18</f>
        <v/>
      </c>
      <c r="F18" s="2">
        <f>-5+C18-2*C18</f>
        <v/>
      </c>
      <c r="G18" s="2">
        <f>-5+D18-2*D18</f>
        <v/>
      </c>
      <c r="H18" s="2">
        <f>E18*F18</f>
        <v/>
      </c>
      <c r="I18" s="2">
        <f>ABS((C18-C17)/C18)*100</f>
        <v/>
      </c>
      <c r="J18" s="2">
        <f>IF(I18&lt;0.00001,"SI","NO")</f>
        <v/>
      </c>
    </row>
    <row r="19" ht="15" customHeight="1">
      <c r="A19" s="3" t="n">
        <v>17</v>
      </c>
      <c r="B19" s="3">
        <f>IF(E18*F18&lt;0,B18,C18)</f>
        <v/>
      </c>
      <c r="C19" s="3">
        <f>(B19+D19)/2</f>
        <v/>
      </c>
      <c r="D19" s="3">
        <f>IF(E18*F18&lt;0,C18,D18)</f>
        <v/>
      </c>
      <c r="E19" s="3">
        <f>-5+B19-2*B19</f>
        <v/>
      </c>
      <c r="F19" s="3">
        <f>-5+C19-2*C19</f>
        <v/>
      </c>
      <c r="G19" s="3">
        <f>-5+D19-2*D19</f>
        <v/>
      </c>
      <c r="H19" s="3">
        <f>E19*F19</f>
        <v/>
      </c>
      <c r="I19" s="3">
        <f>ABS((C19-C18)/C19)*100</f>
        <v/>
      </c>
      <c r="J19" s="3">
        <f>IF(I19&lt;0.00001,"SI","NO")</f>
        <v/>
      </c>
    </row>
    <row r="20" ht="15" customHeight="1">
      <c r="A20" s="2" t="n">
        <v>18</v>
      </c>
      <c r="B20" s="2">
        <f>IF(E19*F19&lt;0,B19,C19)</f>
        <v/>
      </c>
      <c r="C20" s="2">
        <f>(B20+D20)/2</f>
        <v/>
      </c>
      <c r="D20" s="2">
        <f>IF(E19*F19&lt;0,C19,D19)</f>
        <v/>
      </c>
      <c r="E20" s="2">
        <f>-5+B20-2*B20</f>
        <v/>
      </c>
      <c r="F20" s="2">
        <f>-5+C20-2*C20</f>
        <v/>
      </c>
      <c r="G20" s="2">
        <f>-5+D20-2*D20</f>
        <v/>
      </c>
      <c r="H20" s="2">
        <f>E20*F20</f>
        <v/>
      </c>
      <c r="I20" s="2">
        <f>ABS((C20-C19)/C20)*100</f>
        <v/>
      </c>
      <c r="J20" s="2">
        <f>IF(I20&lt;0.00001,"SI","NO")</f>
        <v/>
      </c>
    </row>
    <row r="21" ht="15" customHeight="1">
      <c r="A21" s="3" t="n">
        <v>19</v>
      </c>
      <c r="B21" s="3">
        <f>IF(E20*F20&lt;0,B20,C20)</f>
        <v/>
      </c>
      <c r="C21" s="3">
        <f>(B21+D21)/2</f>
        <v/>
      </c>
      <c r="D21" s="3">
        <f>IF(E20*F20&lt;0,C20,D20)</f>
        <v/>
      </c>
      <c r="E21" s="3">
        <f>-5+B21-2*B21</f>
        <v/>
      </c>
      <c r="F21" s="3">
        <f>-5+C21-2*C21</f>
        <v/>
      </c>
      <c r="G21" s="3">
        <f>-5+D21-2*D21</f>
        <v/>
      </c>
      <c r="H21" s="3">
        <f>E21*F21</f>
        <v/>
      </c>
      <c r="I21" s="3">
        <f>ABS((C21-C20)/C21)*100</f>
        <v/>
      </c>
      <c r="J21" s="3">
        <f>IF(I21&lt;0.00001,"SI","NO")</f>
        <v/>
      </c>
    </row>
    <row r="22" ht="15" customHeight="1">
      <c r="A22" s="2" t="n">
        <v>20</v>
      </c>
      <c r="B22" s="2">
        <f>IF(E21*F21&lt;0,B21,C21)</f>
        <v/>
      </c>
      <c r="C22" s="2">
        <f>(B22+D22)/2</f>
        <v/>
      </c>
      <c r="D22" s="2">
        <f>IF(E21*F21&lt;0,C21,D21)</f>
        <v/>
      </c>
      <c r="E22" s="2">
        <f>-5+B22-2*B22</f>
        <v/>
      </c>
      <c r="F22" s="2">
        <f>-5+C22-2*C22</f>
        <v/>
      </c>
      <c r="G22" s="2">
        <f>-5+D22-2*D22</f>
        <v/>
      </c>
      <c r="H22" s="2">
        <f>E22*F22</f>
        <v/>
      </c>
      <c r="I22" s="2">
        <f>ABS((C22-C21)/C22)*100</f>
        <v/>
      </c>
      <c r="J22" s="2">
        <f>IF(I22&lt;0.00001,"SI","NO")</f>
        <v/>
      </c>
    </row>
    <row r="23" ht="15" customHeight="1">
      <c r="A23" s="3" t="n">
        <v>21</v>
      </c>
      <c r="B23" s="3">
        <f>IF(E22*F22&lt;0,B22,C22)</f>
        <v/>
      </c>
      <c r="C23" s="3">
        <f>(B23+D23)/2</f>
        <v/>
      </c>
      <c r="D23" s="3">
        <f>IF(E22*F22&lt;0,C22,D22)</f>
        <v/>
      </c>
      <c r="E23" s="3">
        <f>-5+B23-2*B23</f>
        <v/>
      </c>
      <c r="F23" s="3">
        <f>-5+C23-2*C23</f>
        <v/>
      </c>
      <c r="G23" s="3">
        <f>-5+D23-2*D23</f>
        <v/>
      </c>
      <c r="H23" s="3">
        <f>E23*F23</f>
        <v/>
      </c>
      <c r="I23" s="3">
        <f>ABS((C23-C22)/C23)*100</f>
        <v/>
      </c>
      <c r="J23" s="3">
        <f>IF(I23&lt;0.00001,"SI","NO")</f>
        <v/>
      </c>
    </row>
    <row r="24" ht="15" customHeight="1">
      <c r="A24" s="2" t="n">
        <v>22</v>
      </c>
      <c r="B24" s="2">
        <f>IF(E23*F23&lt;0,B23,C23)</f>
        <v/>
      </c>
      <c r="C24" s="2">
        <f>(B24+D24)/2</f>
        <v/>
      </c>
      <c r="D24" s="2">
        <f>IF(E23*F23&lt;0,C23,D23)</f>
        <v/>
      </c>
      <c r="E24" s="2">
        <f>-5+B24-2*B24</f>
        <v/>
      </c>
      <c r="F24" s="2">
        <f>-5+C24-2*C24</f>
        <v/>
      </c>
      <c r="G24" s="2">
        <f>-5+D24-2*D24</f>
        <v/>
      </c>
      <c r="H24" s="2">
        <f>E24*F24</f>
        <v/>
      </c>
      <c r="I24" s="2">
        <f>ABS((C24-C23)/C24)*100</f>
        <v/>
      </c>
      <c r="J24" s="2">
        <f>IF(I24&lt;0.00001,"SI","NO")</f>
        <v/>
      </c>
    </row>
    <row r="25" ht="15" customHeight="1">
      <c r="A25" s="3" t="n">
        <v>23</v>
      </c>
      <c r="B25" s="3">
        <f>IF(E24*F24&lt;0,B24,C24)</f>
        <v/>
      </c>
      <c r="C25" s="3">
        <f>(B25+D25)/2</f>
        <v/>
      </c>
      <c r="D25" s="3">
        <f>IF(E24*F24&lt;0,C24,D24)</f>
        <v/>
      </c>
      <c r="E25" s="3">
        <f>-5+B25-2*B25</f>
        <v/>
      </c>
      <c r="F25" s="3">
        <f>-5+C25-2*C25</f>
        <v/>
      </c>
      <c r="G25" s="3">
        <f>-5+D25-2*D25</f>
        <v/>
      </c>
      <c r="H25" s="3">
        <f>E25*F25</f>
        <v/>
      </c>
      <c r="I25" s="3">
        <f>ABS((C25-C24)/C25)*100</f>
        <v/>
      </c>
      <c r="J25" s="3">
        <f>IF(I25&lt;0.00001,"SI","NO")</f>
        <v/>
      </c>
    </row>
    <row r="26" ht="15" customHeight="1">
      <c r="A26" s="2" t="n">
        <v>24</v>
      </c>
      <c r="B26" s="2">
        <f>IF(E25*F25&lt;0,B25,C25)</f>
        <v/>
      </c>
      <c r="C26" s="2">
        <f>(B26+D26)/2</f>
        <v/>
      </c>
      <c r="D26" s="2">
        <f>IF(E25*F25&lt;0,C25,D25)</f>
        <v/>
      </c>
      <c r="E26" s="2">
        <f>-5+B26-2*B26</f>
        <v/>
      </c>
      <c r="F26" s="2">
        <f>-5+C26-2*C26</f>
        <v/>
      </c>
      <c r="G26" s="2">
        <f>-5+D26-2*D26</f>
        <v/>
      </c>
      <c r="H26" s="2">
        <f>E26*F26</f>
        <v/>
      </c>
      <c r="I26" s="2">
        <f>ABS((C26-C25)/C26)*100</f>
        <v/>
      </c>
      <c r="J26" s="2">
        <f>IF(I26&lt;0.00001,"SI","NO")</f>
        <v/>
      </c>
    </row>
    <row r="27" ht="17.25" customHeight="1">
      <c r="A27" s="4" t="inlineStr">
        <is>
          <t>MÉTODO DE BISECCIÓN  —  x3 - 2*x - 5</t>
        </is>
      </c>
    </row>
    <row r="28" ht="15" customHeight="1">
      <c r="A28" s="5" t="inlineStr">
        <is>
          <t>Ecuación:</t>
        </is>
      </c>
      <c r="B28" s="6" t="inlineStr">
        <is>
          <t>x3 - 2*x - 5</t>
        </is>
      </c>
      <c r="D28" s="5" t="inlineStr">
        <is>
          <t>Intervalo inicial:</t>
        </is>
      </c>
      <c r="E28" s="6" t="inlineStr">
        <is>
          <t>[a₀, b₀] = [1, 2]</t>
        </is>
      </c>
      <c r="G28" s="5" t="inlineStr">
        <is>
          <t>Tolerancia:</t>
        </is>
      </c>
      <c r="H28" s="6" t="inlineStr">
        <is>
          <t>ε &lt; 1×10⁻⁵ %</t>
        </is>
      </c>
    </row>
  </sheetData>
  <mergeCells count="1">
    <mergeCell ref="A27:J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7" t="inlineStr">
        <is>
          <t>k</t>
        </is>
      </c>
      <c r="B1" s="7" t="inlineStr">
        <is>
          <t>a</t>
        </is>
      </c>
      <c r="C1" s="7" t="inlineStr">
        <is>
          <t>c (R.F.)</t>
        </is>
      </c>
      <c r="D1" s="7" t="inlineStr">
        <is>
          <t>b</t>
        </is>
      </c>
      <c r="E1" s="7" t="inlineStr">
        <is>
          <t>f(a)</t>
        </is>
      </c>
      <c r="F1" s="7" t="inlineStr">
        <is>
          <t>f(c)</t>
        </is>
      </c>
      <c r="G1" s="7" t="inlineStr">
        <is>
          <t>f(b)</t>
        </is>
      </c>
      <c r="H1" s="7" t="inlineStr">
        <is>
          <t>f(a)·f(c)</t>
        </is>
      </c>
      <c r="I1" s="7" t="inlineStr">
        <is>
          <t>Error %</t>
        </is>
      </c>
      <c r="J1" s="7" t="inlineStr">
        <is>
          <t>Convergencia</t>
        </is>
      </c>
    </row>
    <row r="2" ht="15" customHeight="1">
      <c r="A2" s="8" t="n">
        <v>0</v>
      </c>
      <c r="B2" s="8" t="n">
        <v>1</v>
      </c>
      <c r="C2" s="8">
        <f>B2-(E2*(D2-B2))/(G2-E2)</f>
        <v/>
      </c>
      <c r="D2" s="8" t="n">
        <v>2</v>
      </c>
      <c r="E2" s="8">
        <f>-5+B2-2*B2</f>
        <v/>
      </c>
      <c r="F2" s="8">
        <f>-5+C2-2*C2</f>
        <v/>
      </c>
      <c r="G2" s="8">
        <f>-5+D2-2*D2</f>
        <v/>
      </c>
      <c r="H2" s="8">
        <f>E2*F2</f>
        <v/>
      </c>
      <c r="I2" s="8" t="inlineStr"/>
      <c r="J2" s="8" t="inlineStr"/>
    </row>
    <row r="3" ht="15" customHeight="1">
      <c r="A3" s="9" t="n">
        <v>1</v>
      </c>
      <c r="B3" s="9">
        <f>IF(E2*F2&lt;0,B2,C2)</f>
        <v/>
      </c>
      <c r="C3" s="9">
        <f>B3-(E3*(D3-B3))/(G3-E3)</f>
        <v/>
      </c>
      <c r="D3" s="9">
        <f>IF(E2*F2&lt;0,C2,D2)</f>
        <v/>
      </c>
      <c r="E3" s="9">
        <f>-5+B3-2*B3</f>
        <v/>
      </c>
      <c r="F3" s="9">
        <f>-5+C3-2*C3</f>
        <v/>
      </c>
      <c r="G3" s="9">
        <f>-5+D3-2*D3</f>
        <v/>
      </c>
      <c r="H3" s="9">
        <f>E3*F3</f>
        <v/>
      </c>
      <c r="I3" s="9">
        <f>ABS((C3-C2)/C3)*100</f>
        <v/>
      </c>
      <c r="J3" s="9">
        <f>IF(I3&lt;0.00001,"SI","NO")</f>
        <v/>
      </c>
    </row>
    <row r="4" ht="15" customHeight="1">
      <c r="A4" s="8" t="n">
        <v>2</v>
      </c>
      <c r="B4" s="8">
        <f>IF(E3*F3&lt;0,B3,C3)</f>
        <v/>
      </c>
      <c r="C4" s="8">
        <f>B4-(E4*(D4-B4))/(G4-E4)</f>
        <v/>
      </c>
      <c r="D4" s="8">
        <f>IF(E3*F3&lt;0,C3,D3)</f>
        <v/>
      </c>
      <c r="E4" s="8">
        <f>-5+B4-2*B4</f>
        <v/>
      </c>
      <c r="F4" s="8">
        <f>-5+C4-2*C4</f>
        <v/>
      </c>
      <c r="G4" s="8">
        <f>-5+D4-2*D4</f>
        <v/>
      </c>
      <c r="H4" s="8">
        <f>E4*F4</f>
        <v/>
      </c>
      <c r="I4" s="8">
        <f>ABS((C4-C3)/C4)*100</f>
        <v/>
      </c>
      <c r="J4" s="8">
        <f>IF(I4&lt;0.00001,"SI","NO")</f>
        <v/>
      </c>
    </row>
    <row r="5" ht="15" customHeight="1">
      <c r="A5" s="9" t="n">
        <v>3</v>
      </c>
      <c r="B5" s="9">
        <f>IF(E4*F4&lt;0,B4,C4)</f>
        <v/>
      </c>
      <c r="C5" s="9">
        <f>B5-(E5*(D5-B5))/(G5-E5)</f>
        <v/>
      </c>
      <c r="D5" s="9">
        <f>IF(E4*F4&lt;0,C4,D4)</f>
        <v/>
      </c>
      <c r="E5" s="9">
        <f>-5+B5-2*B5</f>
        <v/>
      </c>
      <c r="F5" s="9">
        <f>-5+C5-2*C5</f>
        <v/>
      </c>
      <c r="G5" s="9">
        <f>-5+D5-2*D5</f>
        <v/>
      </c>
      <c r="H5" s="9">
        <f>E5*F5</f>
        <v/>
      </c>
      <c r="I5" s="9">
        <f>ABS((C5-C4)/C5)*100</f>
        <v/>
      </c>
      <c r="J5" s="9">
        <f>IF(I5&lt;0.00001,"SI","NO")</f>
        <v/>
      </c>
    </row>
    <row r="6" ht="15" customHeight="1">
      <c r="A6" s="8" t="n">
        <v>4</v>
      </c>
      <c r="B6" s="8">
        <f>IF(E5*F5&lt;0,B5,C5)</f>
        <v/>
      </c>
      <c r="C6" s="8">
        <f>B6-(E6*(D6-B6))/(G6-E6)</f>
        <v/>
      </c>
      <c r="D6" s="8">
        <f>IF(E5*F5&lt;0,C5,D5)</f>
        <v/>
      </c>
      <c r="E6" s="8">
        <f>-5+B6-2*B6</f>
        <v/>
      </c>
      <c r="F6" s="8">
        <f>-5+C6-2*C6</f>
        <v/>
      </c>
      <c r="G6" s="8">
        <f>-5+D6-2*D6</f>
        <v/>
      </c>
      <c r="H6" s="8">
        <f>E6*F6</f>
        <v/>
      </c>
      <c r="I6" s="8">
        <f>ABS((C6-C5)/C6)*100</f>
        <v/>
      </c>
      <c r="J6" s="8">
        <f>IF(I6&lt;0.00001,"SI","NO")</f>
        <v/>
      </c>
    </row>
    <row r="7" ht="15" customHeight="1">
      <c r="A7" s="9" t="n">
        <v>5</v>
      </c>
      <c r="B7" s="9">
        <f>IF(E6*F6&lt;0,B6,C6)</f>
        <v/>
      </c>
      <c r="C7" s="9">
        <f>B7-(E7*(D7-B7))/(G7-E7)</f>
        <v/>
      </c>
      <c r="D7" s="9">
        <f>IF(E6*F6&lt;0,C6,D6)</f>
        <v/>
      </c>
      <c r="E7" s="9">
        <f>-5+B7-2*B7</f>
        <v/>
      </c>
      <c r="F7" s="9">
        <f>-5+C7-2*C7</f>
        <v/>
      </c>
      <c r="G7" s="9">
        <f>-5+D7-2*D7</f>
        <v/>
      </c>
      <c r="H7" s="9">
        <f>E7*F7</f>
        <v/>
      </c>
      <c r="I7" s="9">
        <f>ABS((C7-C6)/C7)*100</f>
        <v/>
      </c>
      <c r="J7" s="9">
        <f>IF(I7&lt;0.00001,"SI","NO")</f>
        <v/>
      </c>
    </row>
    <row r="8" ht="15" customHeight="1">
      <c r="A8" s="8" t="n">
        <v>6</v>
      </c>
      <c r="B8" s="8">
        <f>IF(E7*F7&lt;0,B7,C7)</f>
        <v/>
      </c>
      <c r="C8" s="8">
        <f>B8-(E8*(D8-B8))/(G8-E8)</f>
        <v/>
      </c>
      <c r="D8" s="8">
        <f>IF(E7*F7&lt;0,C7,D7)</f>
        <v/>
      </c>
      <c r="E8" s="8">
        <f>-5+B8-2*B8</f>
        <v/>
      </c>
      <c r="F8" s="8">
        <f>-5+C8-2*C8</f>
        <v/>
      </c>
      <c r="G8" s="8">
        <f>-5+D8-2*D8</f>
        <v/>
      </c>
      <c r="H8" s="8">
        <f>E8*F8</f>
        <v/>
      </c>
      <c r="I8" s="8">
        <f>ABS((C8-C7)/C8)*100</f>
        <v/>
      </c>
      <c r="J8" s="8">
        <f>IF(I8&lt;0.00001,"SI","NO")</f>
        <v/>
      </c>
    </row>
    <row r="9" ht="15" customHeight="1">
      <c r="A9" s="9" t="n">
        <v>7</v>
      </c>
      <c r="B9" s="9">
        <f>IF(E8*F8&lt;0,B8,C8)</f>
        <v/>
      </c>
      <c r="C9" s="9">
        <f>B9-(E9*(D9-B9))/(G9-E9)</f>
        <v/>
      </c>
      <c r="D9" s="9">
        <f>IF(E8*F8&lt;0,C8,D8)</f>
        <v/>
      </c>
      <c r="E9" s="9">
        <f>-5+B9-2*B9</f>
        <v/>
      </c>
      <c r="F9" s="9">
        <f>-5+C9-2*C9</f>
        <v/>
      </c>
      <c r="G9" s="9">
        <f>-5+D9-2*D9</f>
        <v/>
      </c>
      <c r="H9" s="9">
        <f>E9*F9</f>
        <v/>
      </c>
      <c r="I9" s="9">
        <f>ABS((C9-C8)/C9)*100</f>
        <v/>
      </c>
      <c r="J9" s="9">
        <f>IF(I9&lt;0.00001,"SI","NO")</f>
        <v/>
      </c>
    </row>
    <row r="10" ht="15" customHeight="1">
      <c r="A10" s="8" t="n">
        <v>8</v>
      </c>
      <c r="B10" s="8">
        <f>IF(E9*F9&lt;0,B9,C9)</f>
        <v/>
      </c>
      <c r="C10" s="8">
        <f>B10-(E10*(D10-B10))/(G10-E10)</f>
        <v/>
      </c>
      <c r="D10" s="8">
        <f>IF(E9*F9&lt;0,C9,D9)</f>
        <v/>
      </c>
      <c r="E10" s="8">
        <f>-5+B10-2*B10</f>
        <v/>
      </c>
      <c r="F10" s="8">
        <f>-5+C10-2*C10</f>
        <v/>
      </c>
      <c r="G10" s="8">
        <f>-5+D10-2*D10</f>
        <v/>
      </c>
      <c r="H10" s="8">
        <f>E10*F10</f>
        <v/>
      </c>
      <c r="I10" s="8">
        <f>ABS((C10-C9)/C10)*100</f>
        <v/>
      </c>
      <c r="J10" s="8">
        <f>IF(I10&lt;0.00001,"SI","NO")</f>
        <v/>
      </c>
    </row>
    <row r="11" ht="15" customHeight="1">
      <c r="A11" s="9" t="n">
        <v>9</v>
      </c>
      <c r="B11" s="9">
        <f>IF(E10*F10&lt;0,B10,C10)</f>
        <v/>
      </c>
      <c r="C11" s="9">
        <f>B11-(E11*(D11-B11))/(G11-E11)</f>
        <v/>
      </c>
      <c r="D11" s="9">
        <f>IF(E10*F10&lt;0,C10,D10)</f>
        <v/>
      </c>
      <c r="E11" s="9">
        <f>-5+B11-2*B11</f>
        <v/>
      </c>
      <c r="F11" s="9">
        <f>-5+C11-2*C11</f>
        <v/>
      </c>
      <c r="G11" s="9">
        <f>-5+D11-2*D11</f>
        <v/>
      </c>
      <c r="H11" s="9">
        <f>E11*F11</f>
        <v/>
      </c>
      <c r="I11" s="9">
        <f>ABS((C11-C10)/C11)*100</f>
        <v/>
      </c>
      <c r="J11" s="9">
        <f>IF(I11&lt;0.00001,"SI","NO")</f>
        <v/>
      </c>
    </row>
    <row r="12" ht="15" customHeight="1">
      <c r="A12" s="8" t="n">
        <v>10</v>
      </c>
      <c r="B12" s="8">
        <f>IF(E11*F11&lt;0,B11,C11)</f>
        <v/>
      </c>
      <c r="C12" s="8">
        <f>B12-(E12*(D12-B12))/(G12-E12)</f>
        <v/>
      </c>
      <c r="D12" s="8">
        <f>IF(E11*F11&lt;0,C11,D11)</f>
        <v/>
      </c>
      <c r="E12" s="8">
        <f>-5+B12-2*B12</f>
        <v/>
      </c>
      <c r="F12" s="8">
        <f>-5+C12-2*C12</f>
        <v/>
      </c>
      <c r="G12" s="8">
        <f>-5+D12-2*D12</f>
        <v/>
      </c>
      <c r="H12" s="8">
        <f>E12*F12</f>
        <v/>
      </c>
      <c r="I12" s="8">
        <f>ABS((C12-C11)/C12)*100</f>
        <v/>
      </c>
      <c r="J12" s="8">
        <f>IF(I12&lt;0.00001,"SI","NO")</f>
        <v/>
      </c>
    </row>
    <row r="13" ht="15" customHeight="1">
      <c r="A13" s="9" t="n">
        <v>11</v>
      </c>
      <c r="B13" s="9">
        <f>IF(E12*F12&lt;0,B12,C12)</f>
        <v/>
      </c>
      <c r="C13" s="9">
        <f>B13-(E13*(D13-B13))/(G13-E13)</f>
        <v/>
      </c>
      <c r="D13" s="9">
        <f>IF(E12*F12&lt;0,C12,D12)</f>
        <v/>
      </c>
      <c r="E13" s="9">
        <f>-5+B13-2*B13</f>
        <v/>
      </c>
      <c r="F13" s="9">
        <f>-5+C13-2*C13</f>
        <v/>
      </c>
      <c r="G13" s="9">
        <f>-5+D13-2*D13</f>
        <v/>
      </c>
      <c r="H13" s="9">
        <f>E13*F13</f>
        <v/>
      </c>
      <c r="I13" s="9">
        <f>ABS((C13-C12)/C13)*100</f>
        <v/>
      </c>
      <c r="J13" s="9">
        <f>IF(I13&lt;0.00001,"SI","NO")</f>
        <v/>
      </c>
    </row>
    <row r="14" ht="15" customHeight="1">
      <c r="A14" s="8" t="n">
        <v>12</v>
      </c>
      <c r="B14" s="8">
        <f>IF(E13*F13&lt;0,B13,C13)</f>
        <v/>
      </c>
      <c r="C14" s="8">
        <f>B14-(E14*(D14-B14))/(G14-E14)</f>
        <v/>
      </c>
      <c r="D14" s="8">
        <f>IF(E13*F13&lt;0,C13,D13)</f>
        <v/>
      </c>
      <c r="E14" s="8">
        <f>-5+B14-2*B14</f>
        <v/>
      </c>
      <c r="F14" s="8">
        <f>-5+C14-2*C14</f>
        <v/>
      </c>
      <c r="G14" s="8">
        <f>-5+D14-2*D14</f>
        <v/>
      </c>
      <c r="H14" s="8">
        <f>E14*F14</f>
        <v/>
      </c>
      <c r="I14" s="8">
        <f>ABS((C14-C13)/C14)*100</f>
        <v/>
      </c>
      <c r="J14" s="8">
        <f>IF(I14&lt;0.00001,"SI","NO")</f>
        <v/>
      </c>
    </row>
    <row r="15" ht="15" customHeight="1">
      <c r="A15" s="9" t="n">
        <v>13</v>
      </c>
      <c r="B15" s="9">
        <f>IF(E14*F14&lt;0,B14,C14)</f>
        <v/>
      </c>
      <c r="C15" s="9">
        <f>B15-(E15*(D15-B15))/(G15-E15)</f>
        <v/>
      </c>
      <c r="D15" s="9">
        <f>IF(E14*F14&lt;0,C14,D14)</f>
        <v/>
      </c>
      <c r="E15" s="9">
        <f>-5+B15-2*B15</f>
        <v/>
      </c>
      <c r="F15" s="9">
        <f>-5+C15-2*C15</f>
        <v/>
      </c>
      <c r="G15" s="9">
        <f>-5+D15-2*D15</f>
        <v/>
      </c>
      <c r="H15" s="9">
        <f>E15*F15</f>
        <v/>
      </c>
      <c r="I15" s="9">
        <f>ABS((C15-C14)/C15)*100</f>
        <v/>
      </c>
      <c r="J15" s="9">
        <f>IF(I15&lt;0.00001,"SI","NO")</f>
        <v/>
      </c>
    </row>
    <row r="16" ht="15" customHeight="1">
      <c r="A16" s="8" t="n">
        <v>14</v>
      </c>
      <c r="B16" s="8">
        <f>IF(E15*F15&lt;0,B15,C15)</f>
        <v/>
      </c>
      <c r="C16" s="8">
        <f>B16-(E16*(D16-B16))/(G16-E16)</f>
        <v/>
      </c>
      <c r="D16" s="8">
        <f>IF(E15*F15&lt;0,C15,D15)</f>
        <v/>
      </c>
      <c r="E16" s="8">
        <f>-5+B16-2*B16</f>
        <v/>
      </c>
      <c r="F16" s="8">
        <f>-5+C16-2*C16</f>
        <v/>
      </c>
      <c r="G16" s="8">
        <f>-5+D16-2*D16</f>
        <v/>
      </c>
      <c r="H16" s="8">
        <f>E16*F16</f>
        <v/>
      </c>
      <c r="I16" s="8">
        <f>ABS((C16-C15)/C16)*100</f>
        <v/>
      </c>
      <c r="J16" s="8">
        <f>IF(I16&lt;0.00001,"SI","NO")</f>
        <v/>
      </c>
    </row>
    <row r="17" ht="15" customHeight="1">
      <c r="A17" s="9" t="n">
        <v>15</v>
      </c>
      <c r="B17" s="9">
        <f>IF(E16*F16&lt;0,B16,C16)</f>
        <v/>
      </c>
      <c r="C17" s="9">
        <f>B17-(E17*(D17-B17))/(G17-E17)</f>
        <v/>
      </c>
      <c r="D17" s="9">
        <f>IF(E16*F16&lt;0,C16,D16)</f>
        <v/>
      </c>
      <c r="E17" s="9">
        <f>-5+B17-2*B17</f>
        <v/>
      </c>
      <c r="F17" s="9">
        <f>-5+C17-2*C17</f>
        <v/>
      </c>
      <c r="G17" s="9">
        <f>-5+D17-2*D17</f>
        <v/>
      </c>
      <c r="H17" s="9">
        <f>E17*F17</f>
        <v/>
      </c>
      <c r="I17" s="9">
        <f>ABS((C17-C16)/C17)*100</f>
        <v/>
      </c>
      <c r="J17" s="9">
        <f>IF(I17&lt;0.00001,"SI","NO")</f>
        <v/>
      </c>
    </row>
    <row r="18" ht="15" customHeight="1">
      <c r="A18" s="8" t="n">
        <v>16</v>
      </c>
      <c r="B18" s="8">
        <f>IF(E17*F17&lt;0,B17,C17)</f>
        <v/>
      </c>
      <c r="C18" s="8">
        <f>B18-(E18*(D18-B18))/(G18-E18)</f>
        <v/>
      </c>
      <c r="D18" s="8">
        <f>IF(E17*F17&lt;0,C17,D17)</f>
        <v/>
      </c>
      <c r="E18" s="8">
        <f>-5+B18-2*B18</f>
        <v/>
      </c>
      <c r="F18" s="8">
        <f>-5+C18-2*C18</f>
        <v/>
      </c>
      <c r="G18" s="8">
        <f>-5+D18-2*D18</f>
        <v/>
      </c>
      <c r="H18" s="8">
        <f>E18*F18</f>
        <v/>
      </c>
      <c r="I18" s="8">
        <f>ABS((C18-C17)/C18)*100</f>
        <v/>
      </c>
      <c r="J18" s="8">
        <f>IF(I18&lt;0.00001,"SI","NO")</f>
        <v/>
      </c>
    </row>
    <row r="19" ht="15" customHeight="1">
      <c r="A19" s="9" t="n">
        <v>17</v>
      </c>
      <c r="B19" s="9">
        <f>IF(E18*F18&lt;0,B18,C18)</f>
        <v/>
      </c>
      <c r="C19" s="9">
        <f>B19-(E19*(D19-B19))/(G19-E19)</f>
        <v/>
      </c>
      <c r="D19" s="9">
        <f>IF(E18*F18&lt;0,C18,D18)</f>
        <v/>
      </c>
      <c r="E19" s="9">
        <f>-5+B19-2*B19</f>
        <v/>
      </c>
      <c r="F19" s="9">
        <f>-5+C19-2*C19</f>
        <v/>
      </c>
      <c r="G19" s="9">
        <f>-5+D19-2*D19</f>
        <v/>
      </c>
      <c r="H19" s="9">
        <f>E19*F19</f>
        <v/>
      </c>
      <c r="I19" s="9">
        <f>ABS((C19-C18)/C19)*100</f>
        <v/>
      </c>
      <c r="J19" s="9">
        <f>IF(I19&lt;0.00001,"SI","NO")</f>
        <v/>
      </c>
    </row>
    <row r="20" ht="15" customHeight="1">
      <c r="A20" s="8" t="n">
        <v>18</v>
      </c>
      <c r="B20" s="8">
        <f>IF(E19*F19&lt;0,B19,C19)</f>
        <v/>
      </c>
      <c r="C20" s="8">
        <f>B20-(E20*(D20-B20))/(G20-E20)</f>
        <v/>
      </c>
      <c r="D20" s="8">
        <f>IF(E19*F19&lt;0,C19,D19)</f>
        <v/>
      </c>
      <c r="E20" s="8">
        <f>-5+B20-2*B20</f>
        <v/>
      </c>
      <c r="F20" s="8">
        <f>-5+C20-2*C20</f>
        <v/>
      </c>
      <c r="G20" s="8">
        <f>-5+D20-2*D20</f>
        <v/>
      </c>
      <c r="H20" s="8">
        <f>E20*F20</f>
        <v/>
      </c>
      <c r="I20" s="8">
        <f>ABS((C20-C19)/C20)*100</f>
        <v/>
      </c>
      <c r="J20" s="8">
        <f>IF(I20&lt;0.00001,"SI","NO")</f>
        <v/>
      </c>
    </row>
    <row r="21" ht="15" customHeight="1">
      <c r="A21" s="9" t="n">
        <v>19</v>
      </c>
      <c r="B21" s="9">
        <f>IF(E20*F20&lt;0,B20,C20)</f>
        <v/>
      </c>
      <c r="C21" s="9">
        <f>B21-(E21*(D21-B21))/(G21-E21)</f>
        <v/>
      </c>
      <c r="D21" s="9">
        <f>IF(E20*F20&lt;0,C20,D20)</f>
        <v/>
      </c>
      <c r="E21" s="9">
        <f>-5+B21-2*B21</f>
        <v/>
      </c>
      <c r="F21" s="9">
        <f>-5+C21-2*C21</f>
        <v/>
      </c>
      <c r="G21" s="9">
        <f>-5+D21-2*D21</f>
        <v/>
      </c>
      <c r="H21" s="9">
        <f>E21*F21</f>
        <v/>
      </c>
      <c r="I21" s="9">
        <f>ABS((C21-C20)/C21)*100</f>
        <v/>
      </c>
      <c r="J21" s="9">
        <f>IF(I21&lt;0.00001,"SI","NO")</f>
        <v/>
      </c>
    </row>
    <row r="22" ht="15" customHeight="1">
      <c r="A22" s="8" t="n">
        <v>20</v>
      </c>
      <c r="B22" s="8">
        <f>IF(E21*F21&lt;0,B21,C21)</f>
        <v/>
      </c>
      <c r="C22" s="8">
        <f>B22-(E22*(D22-B22))/(G22-E22)</f>
        <v/>
      </c>
      <c r="D22" s="8">
        <f>IF(E21*F21&lt;0,C21,D21)</f>
        <v/>
      </c>
      <c r="E22" s="8">
        <f>-5+B22-2*B22</f>
        <v/>
      </c>
      <c r="F22" s="8">
        <f>-5+C22-2*C22</f>
        <v/>
      </c>
      <c r="G22" s="8">
        <f>-5+D22-2*D22</f>
        <v/>
      </c>
      <c r="H22" s="8">
        <f>E22*F22</f>
        <v/>
      </c>
      <c r="I22" s="8">
        <f>ABS((C22-C21)/C22)*100</f>
        <v/>
      </c>
      <c r="J22" s="8">
        <f>IF(I22&lt;0.00001,"SI","NO")</f>
        <v/>
      </c>
    </row>
    <row r="23" ht="15" customHeight="1">
      <c r="A23" s="9" t="n">
        <v>21</v>
      </c>
      <c r="B23" s="9">
        <f>IF(E22*F22&lt;0,B22,C22)</f>
        <v/>
      </c>
      <c r="C23" s="9">
        <f>B23-(E23*(D23-B23))/(G23-E23)</f>
        <v/>
      </c>
      <c r="D23" s="9">
        <f>IF(E22*F22&lt;0,C22,D22)</f>
        <v/>
      </c>
      <c r="E23" s="9">
        <f>-5+B23-2*B23</f>
        <v/>
      </c>
      <c r="F23" s="9">
        <f>-5+C23-2*C23</f>
        <v/>
      </c>
      <c r="G23" s="9">
        <f>-5+D23-2*D23</f>
        <v/>
      </c>
      <c r="H23" s="9">
        <f>E23*F23</f>
        <v/>
      </c>
      <c r="I23" s="9">
        <f>ABS((C23-C22)/C23)*100</f>
        <v/>
      </c>
      <c r="J23" s="9">
        <f>IF(I23&lt;0.00001,"SI","NO")</f>
        <v/>
      </c>
    </row>
    <row r="24" ht="15" customHeight="1">
      <c r="A24" s="8" t="n">
        <v>22</v>
      </c>
      <c r="B24" s="8">
        <f>IF(E23*F23&lt;0,B23,C23)</f>
        <v/>
      </c>
      <c r="C24" s="8">
        <f>B24-(E24*(D24-B24))/(G24-E24)</f>
        <v/>
      </c>
      <c r="D24" s="8">
        <f>IF(E23*F23&lt;0,C23,D23)</f>
        <v/>
      </c>
      <c r="E24" s="8">
        <f>-5+B24-2*B24</f>
        <v/>
      </c>
      <c r="F24" s="8">
        <f>-5+C24-2*C24</f>
        <v/>
      </c>
      <c r="G24" s="8">
        <f>-5+D24-2*D24</f>
        <v/>
      </c>
      <c r="H24" s="8">
        <f>E24*F24</f>
        <v/>
      </c>
      <c r="I24" s="8">
        <f>ABS((C24-C23)/C24)*100</f>
        <v/>
      </c>
      <c r="J24" s="8">
        <f>IF(I24&lt;0.00001,"SI","NO")</f>
        <v/>
      </c>
    </row>
    <row r="25" ht="15" customHeight="1">
      <c r="A25" s="9" t="n">
        <v>23</v>
      </c>
      <c r="B25" s="9">
        <f>IF(E24*F24&lt;0,B24,C24)</f>
        <v/>
      </c>
      <c r="C25" s="9">
        <f>B25-(E25*(D25-B25))/(G25-E25)</f>
        <v/>
      </c>
      <c r="D25" s="9">
        <f>IF(E24*F24&lt;0,C24,D24)</f>
        <v/>
      </c>
      <c r="E25" s="9">
        <f>-5+B25-2*B25</f>
        <v/>
      </c>
      <c r="F25" s="9">
        <f>-5+C25-2*C25</f>
        <v/>
      </c>
      <c r="G25" s="9">
        <f>-5+D25-2*D25</f>
        <v/>
      </c>
      <c r="H25" s="9">
        <f>E25*F25</f>
        <v/>
      </c>
      <c r="I25" s="9">
        <f>ABS((C25-C24)/C25)*100</f>
        <v/>
      </c>
      <c r="J25" s="9">
        <f>IF(I25&lt;0.00001,"SI","NO")</f>
        <v/>
      </c>
    </row>
    <row r="26" ht="15" customHeight="1">
      <c r="A26" s="8" t="n">
        <v>24</v>
      </c>
      <c r="B26" s="8">
        <f>IF(E25*F25&lt;0,B25,C25)</f>
        <v/>
      </c>
      <c r="C26" s="8">
        <f>B26-(E26*(D26-B26))/(G26-E26)</f>
        <v/>
      </c>
      <c r="D26" s="8">
        <f>IF(E25*F25&lt;0,C25,D25)</f>
        <v/>
      </c>
      <c r="E26" s="8">
        <f>-5+B26-2*B26</f>
        <v/>
      </c>
      <c r="F26" s="8">
        <f>-5+C26-2*C26</f>
        <v/>
      </c>
      <c r="G26" s="8">
        <f>-5+D26-2*D26</f>
        <v/>
      </c>
      <c r="H26" s="8">
        <f>E26*F26</f>
        <v/>
      </c>
      <c r="I26" s="8">
        <f>ABS((C26-C25)/C26)*100</f>
        <v/>
      </c>
      <c r="J26" s="8">
        <f>IF(I26&lt;0.00001,"SI","NO")</f>
        <v/>
      </c>
    </row>
    <row r="27" ht="17.25" customHeight="1">
      <c r="A27" s="10" t="inlineStr">
        <is>
          <t>MÉTODO DE REGULA FALSI  —  x3 - 2*x - 5</t>
        </is>
      </c>
    </row>
    <row r="28" ht="15" customHeight="1">
      <c r="A28" s="11" t="inlineStr">
        <is>
          <t>Ecuación:</t>
        </is>
      </c>
      <c r="B28" s="6" t="inlineStr">
        <is>
          <t>x3 - 2*x - 5</t>
        </is>
      </c>
      <c r="D28" s="11" t="inlineStr">
        <is>
          <t>Intervalo inicial:</t>
        </is>
      </c>
      <c r="E28" s="6" t="inlineStr">
        <is>
          <t>[a₀, b₀] = [1, 2]</t>
        </is>
      </c>
      <c r="G28" s="11" t="inlineStr">
        <is>
          <t>Tolerancia:</t>
        </is>
      </c>
      <c r="H28" s="6" t="inlineStr">
        <is>
          <t>ε &lt; 1×10⁻⁵ %</t>
        </is>
      </c>
    </row>
  </sheetData>
  <mergeCells count="1">
    <mergeCell ref="A27:J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14" customWidth="1" min="5" max="5"/>
  </cols>
  <sheetData>
    <row r="1" ht="17.25" customHeight="1">
      <c r="A1" s="12" t="inlineStr">
        <is>
          <t>k</t>
        </is>
      </c>
      <c r="B1" s="12" t="inlineStr">
        <is>
          <t>xₖ</t>
        </is>
      </c>
      <c r="C1" s="12" t="inlineStr">
        <is>
          <t>g(xₖ)</t>
        </is>
      </c>
      <c r="D1" s="12" t="inlineStr">
        <is>
          <t>Error %</t>
        </is>
      </c>
      <c r="E1" s="12" t="inlineStr">
        <is>
          <t>Convergencia</t>
        </is>
      </c>
    </row>
    <row r="2" ht="15" customHeight="1">
      <c r="A2" s="13" t="n">
        <v>0</v>
      </c>
      <c r="B2" s="13" t="n">
        <v>1</v>
      </c>
      <c r="C2" s="13">
        <f>(1/(1+B2))*(2+B2)</f>
        <v/>
      </c>
      <c r="D2" s="13" t="inlineStr"/>
      <c r="E2" s="13" t="inlineStr"/>
    </row>
    <row r="3" ht="15" customHeight="1">
      <c r="A3" s="14" t="n">
        <v>1</v>
      </c>
      <c r="B3" s="14">
        <f>C2</f>
        <v/>
      </c>
      <c r="C3" s="14">
        <f>(1/(1+B3))*(2+B3)</f>
        <v/>
      </c>
      <c r="D3" s="14">
        <f>ABS((C3-B3)/C3)*100</f>
        <v/>
      </c>
      <c r="E3" s="14">
        <f>IF(D3&lt;0.00001,"SI","NO")</f>
        <v/>
      </c>
    </row>
    <row r="4" ht="15" customHeight="1">
      <c r="A4" s="13" t="n">
        <v>2</v>
      </c>
      <c r="B4" s="13">
        <f>C3</f>
        <v/>
      </c>
      <c r="C4" s="13">
        <f>(1/(1+B4))*(2+B4)</f>
        <v/>
      </c>
      <c r="D4" s="13">
        <f>ABS((C4-B4)/C4)*100</f>
        <v/>
      </c>
      <c r="E4" s="13">
        <f>IF(D4&lt;0.00001,"SI","NO")</f>
        <v/>
      </c>
    </row>
    <row r="5" ht="15" customHeight="1">
      <c r="A5" s="14" t="n">
        <v>3</v>
      </c>
      <c r="B5" s="14">
        <f>C4</f>
        <v/>
      </c>
      <c r="C5" s="14">
        <f>(1/(1+B5))*(2+B5)</f>
        <v/>
      </c>
      <c r="D5" s="14">
        <f>ABS((C5-B5)/C5)*100</f>
        <v/>
      </c>
      <c r="E5" s="14">
        <f>IF(D5&lt;0.00001,"SI","NO")</f>
        <v/>
      </c>
    </row>
    <row r="6" ht="15" customHeight="1">
      <c r="A6" s="13" t="n">
        <v>4</v>
      </c>
      <c r="B6" s="13">
        <f>C5</f>
        <v/>
      </c>
      <c r="C6" s="13">
        <f>(1/(1+B6))*(2+B6)</f>
        <v/>
      </c>
      <c r="D6" s="13">
        <f>ABS((C6-B6)/C6)*100</f>
        <v/>
      </c>
      <c r="E6" s="13">
        <f>IF(D6&lt;0.00001,"SI","NO")</f>
        <v/>
      </c>
    </row>
    <row r="7" ht="15" customHeight="1">
      <c r="A7" s="14" t="n">
        <v>5</v>
      </c>
      <c r="B7" s="14">
        <f>C6</f>
        <v/>
      </c>
      <c r="C7" s="14">
        <f>(1/(1+B7))*(2+B7)</f>
        <v/>
      </c>
      <c r="D7" s="14">
        <f>ABS((C7-B7)/C7)*100</f>
        <v/>
      </c>
      <c r="E7" s="14">
        <f>IF(D7&lt;0.00001,"SI","NO")</f>
        <v/>
      </c>
    </row>
    <row r="8" ht="15" customHeight="1">
      <c r="A8" s="13" t="n">
        <v>6</v>
      </c>
      <c r="B8" s="13">
        <f>C7</f>
        <v/>
      </c>
      <c r="C8" s="13">
        <f>(1/(1+B8))*(2+B8)</f>
        <v/>
      </c>
      <c r="D8" s="13">
        <f>ABS((C8-B8)/C8)*100</f>
        <v/>
      </c>
      <c r="E8" s="13">
        <f>IF(D8&lt;0.00001,"SI","NO")</f>
        <v/>
      </c>
    </row>
    <row r="9" ht="15" customHeight="1">
      <c r="A9" s="14" t="n">
        <v>7</v>
      </c>
      <c r="B9" s="14">
        <f>C8</f>
        <v/>
      </c>
      <c r="C9" s="14">
        <f>(1/(1+B9))*(2+B9)</f>
        <v/>
      </c>
      <c r="D9" s="14">
        <f>ABS((C9-B9)/C9)*100</f>
        <v/>
      </c>
      <c r="E9" s="14">
        <f>IF(D9&lt;0.00001,"SI","NO")</f>
        <v/>
      </c>
    </row>
    <row r="10" ht="15" customHeight="1">
      <c r="A10" s="13" t="n">
        <v>8</v>
      </c>
      <c r="B10" s="13">
        <f>C9</f>
        <v/>
      </c>
      <c r="C10" s="13">
        <f>(1/(1+B10))*(2+B10)</f>
        <v/>
      </c>
      <c r="D10" s="13">
        <f>ABS((C10-B10)/C10)*100</f>
        <v/>
      </c>
      <c r="E10" s="13">
        <f>IF(D10&lt;0.00001,"SI","NO")</f>
        <v/>
      </c>
    </row>
    <row r="11" ht="15" customHeight="1">
      <c r="A11" s="14" t="n">
        <v>9</v>
      </c>
      <c r="B11" s="14">
        <f>C10</f>
        <v/>
      </c>
      <c r="C11" s="14">
        <f>(1/(1+B11))*(2+B11)</f>
        <v/>
      </c>
      <c r="D11" s="14">
        <f>ABS((C11-B11)/C11)*100</f>
        <v/>
      </c>
      <c r="E11" s="14">
        <f>IF(D11&lt;0.00001,"SI","NO")</f>
        <v/>
      </c>
    </row>
    <row r="12" ht="15" customHeight="1">
      <c r="A12" s="13" t="n">
        <v>10</v>
      </c>
      <c r="B12" s="13">
        <f>C11</f>
        <v/>
      </c>
      <c r="C12" s="13">
        <f>(1/(1+B12))*(2+B12)</f>
        <v/>
      </c>
      <c r="D12" s="13">
        <f>ABS((C12-B12)/C12)*100</f>
        <v/>
      </c>
      <c r="E12" s="13">
        <f>IF(D12&lt;0.00001,"SI","NO")</f>
        <v/>
      </c>
    </row>
    <row r="13" ht="15" customHeight="1">
      <c r="A13" s="14" t="n">
        <v>11</v>
      </c>
      <c r="B13" s="14">
        <f>C12</f>
        <v/>
      </c>
      <c r="C13" s="14">
        <f>(1/(1+B13))*(2+B13)</f>
        <v/>
      </c>
      <c r="D13" s="14">
        <f>ABS((C13-B13)/C13)*100</f>
        <v/>
      </c>
      <c r="E13" s="14">
        <f>IF(D13&lt;0.00001,"SI","NO")</f>
        <v/>
      </c>
    </row>
    <row r="14" ht="15" customHeight="1">
      <c r="A14" s="13" t="n">
        <v>12</v>
      </c>
      <c r="B14" s="13">
        <f>C13</f>
        <v/>
      </c>
      <c r="C14" s="13">
        <f>(1/(1+B14))*(2+B14)</f>
        <v/>
      </c>
      <c r="D14" s="13">
        <f>ABS((C14-B14)/C14)*100</f>
        <v/>
      </c>
      <c r="E14" s="13">
        <f>IF(D14&lt;0.00001,"SI","NO")</f>
        <v/>
      </c>
    </row>
    <row r="15" ht="15" customHeight="1">
      <c r="A15" s="14" t="n">
        <v>13</v>
      </c>
      <c r="B15" s="14">
        <f>C14</f>
        <v/>
      </c>
      <c r="C15" s="14">
        <f>(1/(1+B15))*(2+B15)</f>
        <v/>
      </c>
      <c r="D15" s="14">
        <f>ABS((C15-B15)/C15)*100</f>
        <v/>
      </c>
      <c r="E15" s="14">
        <f>IF(D15&lt;0.00001,"SI","NO")</f>
        <v/>
      </c>
    </row>
    <row r="16" ht="15" customHeight="1">
      <c r="A16" s="13" t="n">
        <v>14</v>
      </c>
      <c r="B16" s="13">
        <f>C15</f>
        <v/>
      </c>
      <c r="C16" s="13">
        <f>(1/(1+B16))*(2+B16)</f>
        <v/>
      </c>
      <c r="D16" s="13">
        <f>ABS((C16-B16)/C16)*100</f>
        <v/>
      </c>
      <c r="E16" s="13">
        <f>IF(D16&lt;0.00001,"SI","NO")</f>
        <v/>
      </c>
    </row>
    <row r="17" ht="15" customHeight="1">
      <c r="A17" s="14" t="n">
        <v>15</v>
      </c>
      <c r="B17" s="14">
        <f>C16</f>
        <v/>
      </c>
      <c r="C17" s="14">
        <f>(1/(1+B17))*(2+B17)</f>
        <v/>
      </c>
      <c r="D17" s="14">
        <f>ABS((C17-B17)/C17)*100</f>
        <v/>
      </c>
      <c r="E17" s="14">
        <f>IF(D17&lt;0.00001,"SI","NO")</f>
        <v/>
      </c>
    </row>
    <row r="18" ht="15" customHeight="1">
      <c r="A18" s="13" t="n">
        <v>16</v>
      </c>
      <c r="B18" s="13">
        <f>C17</f>
        <v/>
      </c>
      <c r="C18" s="13">
        <f>(1/(1+B18))*(2+B18)</f>
        <v/>
      </c>
      <c r="D18" s="13">
        <f>ABS((C18-B18)/C18)*100</f>
        <v/>
      </c>
      <c r="E18" s="13">
        <f>IF(D18&lt;0.00001,"SI","NO")</f>
        <v/>
      </c>
    </row>
    <row r="19" ht="15" customHeight="1">
      <c r="A19" s="14" t="n">
        <v>17</v>
      </c>
      <c r="B19" s="14">
        <f>C18</f>
        <v/>
      </c>
      <c r="C19" s="14">
        <f>(1/(1+B19))*(2+B19)</f>
        <v/>
      </c>
      <c r="D19" s="14">
        <f>ABS((C19-B19)/C19)*100</f>
        <v/>
      </c>
      <c r="E19" s="14">
        <f>IF(D19&lt;0.00001,"SI","NO")</f>
        <v/>
      </c>
    </row>
    <row r="20" ht="15" customHeight="1">
      <c r="A20" s="13" t="n">
        <v>18</v>
      </c>
      <c r="B20" s="13">
        <f>C19</f>
        <v/>
      </c>
      <c r="C20" s="13">
        <f>(1/(1+B20))*(2+B20)</f>
        <v/>
      </c>
      <c r="D20" s="13">
        <f>ABS((C20-B20)/C20)*100</f>
        <v/>
      </c>
      <c r="E20" s="13">
        <f>IF(D20&lt;0.00001,"SI","NO")</f>
        <v/>
      </c>
    </row>
    <row r="21" ht="15" customHeight="1">
      <c r="A21" s="14" t="n">
        <v>19</v>
      </c>
      <c r="B21" s="14">
        <f>C20</f>
        <v/>
      </c>
      <c r="C21" s="14">
        <f>(1/(1+B21))*(2+B21)</f>
        <v/>
      </c>
      <c r="D21" s="14">
        <f>ABS((C21-B21)/C21)*100</f>
        <v/>
      </c>
      <c r="E21" s="14">
        <f>IF(D21&lt;0.00001,"SI","NO")</f>
        <v/>
      </c>
    </row>
    <row r="22" ht="15" customHeight="1">
      <c r="A22" s="13" t="n">
        <v>20</v>
      </c>
      <c r="B22" s="13">
        <f>C21</f>
        <v/>
      </c>
      <c r="C22" s="13">
        <f>(1/(1+B22))*(2+B22)</f>
        <v/>
      </c>
      <c r="D22" s="13">
        <f>ABS((C22-B22)/C22)*100</f>
        <v/>
      </c>
      <c r="E22" s="13">
        <f>IF(D22&lt;0.00001,"SI","NO")</f>
        <v/>
      </c>
    </row>
    <row r="23" ht="15" customHeight="1">
      <c r="A23" s="14" t="n">
        <v>21</v>
      </c>
      <c r="B23" s="14">
        <f>C22</f>
        <v/>
      </c>
      <c r="C23" s="14">
        <f>(1/(1+B23))*(2+B23)</f>
        <v/>
      </c>
      <c r="D23" s="14">
        <f>ABS((C23-B23)/C23)*100</f>
        <v/>
      </c>
      <c r="E23" s="14">
        <f>IF(D23&lt;0.00001,"SI","NO")</f>
        <v/>
      </c>
    </row>
    <row r="24" ht="15" customHeight="1">
      <c r="A24" s="13" t="n">
        <v>22</v>
      </c>
      <c r="B24" s="13">
        <f>C23</f>
        <v/>
      </c>
      <c r="C24" s="13">
        <f>(1/(1+B24))*(2+B24)</f>
        <v/>
      </c>
      <c r="D24" s="13">
        <f>ABS((C24-B24)/C24)*100</f>
        <v/>
      </c>
      <c r="E24" s="13">
        <f>IF(D24&lt;0.00001,"SI","NO")</f>
        <v/>
      </c>
    </row>
    <row r="25" ht="15" customHeight="1">
      <c r="A25" s="14" t="n">
        <v>23</v>
      </c>
      <c r="B25" s="14">
        <f>C24</f>
        <v/>
      </c>
      <c r="C25" s="14">
        <f>(1/(1+B25))*(2+B25)</f>
        <v/>
      </c>
      <c r="D25" s="14">
        <f>ABS((C25-B25)/C25)*100</f>
        <v/>
      </c>
      <c r="E25" s="14">
        <f>IF(D25&lt;0.00001,"SI","NO")</f>
        <v/>
      </c>
    </row>
    <row r="26" ht="15" customHeight="1">
      <c r="A26" s="13" t="n">
        <v>24</v>
      </c>
      <c r="B26" s="13">
        <f>C25</f>
        <v/>
      </c>
      <c r="C26" s="13">
        <f>(1/(1+B26))*(2+B26)</f>
        <v/>
      </c>
      <c r="D26" s="13">
        <f>ABS((C26-B26)/C26)*100</f>
        <v/>
      </c>
      <c r="E26" s="13">
        <f>IF(D26&lt;0.00001,"SI","NO")</f>
        <v/>
      </c>
    </row>
    <row r="27" ht="17.25" customHeight="1">
      <c r="A27" s="15" t="inlineStr">
        <is>
          <t>MÉTODO DE PUNTO FIJO  —  x3 - 2*x - 5</t>
        </is>
      </c>
    </row>
    <row r="28" ht="15" customHeight="1">
      <c r="A28" s="16" t="inlineStr">
        <is>
          <t>Ecuación:</t>
        </is>
      </c>
      <c r="B28" s="6" t="inlineStr">
        <is>
          <t>x3 - 2*x - 5</t>
        </is>
      </c>
      <c r="D28" s="16" t="inlineStr">
        <is>
          <t>g(x):</t>
        </is>
      </c>
      <c r="E28" s="6" t="inlineStr">
        <is>
          <t>g(x) = (x+2)/(x+1)</t>
        </is>
      </c>
    </row>
  </sheetData>
  <mergeCells count="1"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6" customWidth="1" min="10" max="10"/>
    <col width="20" customWidth="1" min="11" max="11"/>
    <col width="12" customWidth="1" min="12" max="12"/>
    <col width="14" customWidth="1" min="13" max="13"/>
  </cols>
  <sheetData>
    <row r="1" ht="17.25" customHeight="1">
      <c r="A1" s="17" t="inlineStr">
        <is>
          <t>k</t>
        </is>
      </c>
      <c r="B1" s="17" t="inlineStr">
        <is>
          <t>p̂ₖ (Aitken)</t>
        </is>
      </c>
      <c r="C1" s="17" t="inlineStr">
        <is>
          <t>Error %</t>
        </is>
      </c>
      <c r="D1" s="17" t="inlineStr">
        <is>
          <t>Convergencia</t>
        </is>
      </c>
      <c r="I1" s="15" t="inlineStr">
        <is>
          <t>PUNTO FIJO  —  base de Aitken</t>
        </is>
      </c>
    </row>
    <row r="2">
      <c r="A2" s="18" t="n">
        <v>0</v>
      </c>
      <c r="B2" s="18">
        <f>K3-((K4-K3)^2)/(K5-2*K4+K3)</f>
        <v/>
      </c>
      <c r="C2" s="18" t="inlineStr"/>
      <c r="D2" s="18" t="inlineStr"/>
      <c r="I2" s="12" t="inlineStr">
        <is>
          <t>k</t>
        </is>
      </c>
      <c r="J2" s="12" t="inlineStr">
        <is>
          <t>xₖ</t>
        </is>
      </c>
      <c r="K2" s="12" t="inlineStr">
        <is>
          <t>g(xₖ)</t>
        </is>
      </c>
      <c r="L2" s="12" t="inlineStr">
        <is>
          <t>Error %</t>
        </is>
      </c>
      <c r="M2" s="12" t="inlineStr">
        <is>
          <t>Conv</t>
        </is>
      </c>
    </row>
    <row r="3">
      <c r="A3" s="19" t="n">
        <v>1</v>
      </c>
      <c r="B3" s="19">
        <f>K4-((K5-K4)^2)/(K6-2*K5+K4)</f>
        <v/>
      </c>
      <c r="C3" s="19">
        <f>ABS((B3-B2)/B3)*100</f>
        <v/>
      </c>
      <c r="D3" s="19">
        <f>IF(C3&lt;0.00001,"SI","NO")</f>
        <v/>
      </c>
      <c r="I3" s="14" t="n">
        <v>0</v>
      </c>
      <c r="J3" s="14" t="n">
        <v>1</v>
      </c>
      <c r="K3" s="14">
        <f>(1/(1+J3))*(2+J3)</f>
        <v/>
      </c>
      <c r="L3" s="14" t="inlineStr"/>
      <c r="M3" s="14" t="inlineStr"/>
    </row>
    <row r="4">
      <c r="A4" s="18" t="n">
        <v>2</v>
      </c>
      <c r="B4" s="18">
        <f>K5-((K6-K5)^2)/(K7-2*K6+K5)</f>
        <v/>
      </c>
      <c r="C4" s="18">
        <f>ABS((B4-B3)/B4)*100</f>
        <v/>
      </c>
      <c r="D4" s="18">
        <f>IF(C4&lt;0.00001,"SI","NO")</f>
        <v/>
      </c>
      <c r="I4" s="14" t="n">
        <v>1</v>
      </c>
      <c r="J4" s="14">
        <f>K3</f>
        <v/>
      </c>
      <c r="K4" s="14">
        <f>(1/(1+J4))*(2+J4)</f>
        <v/>
      </c>
      <c r="L4" s="14">
        <f>ABS((K4-J4)/K4)*100</f>
        <v/>
      </c>
      <c r="M4" s="14">
        <f>IF(L4&lt;0.00001,"SI","NO")</f>
        <v/>
      </c>
    </row>
    <row r="5">
      <c r="A5" s="19" t="n">
        <v>3</v>
      </c>
      <c r="B5" s="19">
        <f>K6-((K7-K6)^2)/(K8-2*K7+K6)</f>
        <v/>
      </c>
      <c r="C5" s="19">
        <f>ABS((B5-B4)/B5)*100</f>
        <v/>
      </c>
      <c r="D5" s="19">
        <f>IF(C5&lt;0.00001,"SI","NO")</f>
        <v/>
      </c>
      <c r="I5" s="14" t="n">
        <v>2</v>
      </c>
      <c r="J5" s="14">
        <f>K4</f>
        <v/>
      </c>
      <c r="K5" s="14">
        <f>(1/(1+J5))*(2+J5)</f>
        <v/>
      </c>
      <c r="L5" s="14">
        <f>ABS((K5-J5)/K5)*100</f>
        <v/>
      </c>
      <c r="M5" s="14">
        <f>IF(L5&lt;0.00001,"SI","NO")</f>
        <v/>
      </c>
    </row>
    <row r="6">
      <c r="A6" s="18" t="n">
        <v>4</v>
      </c>
      <c r="B6" s="18">
        <f>K7-((K8-K7)^2)/(K9-2*K8+K7)</f>
        <v/>
      </c>
      <c r="C6" s="18">
        <f>ABS((B6-B5)/B6)*100</f>
        <v/>
      </c>
      <c r="D6" s="18">
        <f>IF(C6&lt;0.00001,"SI","NO")</f>
        <v/>
      </c>
      <c r="I6" s="13" t="n">
        <v>3</v>
      </c>
      <c r="J6" s="13">
        <f>K5</f>
        <v/>
      </c>
      <c r="K6" s="13">
        <f>(1/(1+J6))*(2+J6)</f>
        <v/>
      </c>
      <c r="L6" s="13">
        <f>ABS((K6-J6)/K6)*100</f>
        <v/>
      </c>
      <c r="M6" s="13">
        <f>IF(L6&lt;0.00001,"SI","NO")</f>
        <v/>
      </c>
    </row>
    <row r="7">
      <c r="A7" s="19" t="n">
        <v>5</v>
      </c>
      <c r="B7" s="19">
        <f>K8-((K9-K8)^2)/(K10-2*K9+K8)</f>
        <v/>
      </c>
      <c r="C7" s="19">
        <f>ABS((B7-B6)/B7)*100</f>
        <v/>
      </c>
      <c r="D7" s="19">
        <f>IF(C7&lt;0.00001,"SI","NO")</f>
        <v/>
      </c>
      <c r="I7" s="13" t="n">
        <v>4</v>
      </c>
      <c r="J7" s="13">
        <f>K6</f>
        <v/>
      </c>
      <c r="K7" s="13">
        <f>(1/(1+J7))*(2+J7)</f>
        <v/>
      </c>
      <c r="L7" s="13">
        <f>ABS((K7-J7)/K7)*100</f>
        <v/>
      </c>
      <c r="M7" s="13">
        <f>IF(L7&lt;0.00001,"SI","NO")</f>
        <v/>
      </c>
    </row>
    <row r="8">
      <c r="A8" s="18" t="n">
        <v>6</v>
      </c>
      <c r="B8" s="18">
        <f>K9-((K10-K9)^2)/(K11-2*K10+K9)</f>
        <v/>
      </c>
      <c r="C8" s="18">
        <f>ABS((B8-B7)/B8)*100</f>
        <v/>
      </c>
      <c r="D8" s="18">
        <f>IF(C8&lt;0.00001,"SI","NO")</f>
        <v/>
      </c>
      <c r="I8" s="13" t="n">
        <v>5</v>
      </c>
      <c r="J8" s="13">
        <f>K7</f>
        <v/>
      </c>
      <c r="K8" s="13">
        <f>(1/(1+J8))*(2+J8)</f>
        <v/>
      </c>
      <c r="L8" s="13">
        <f>ABS((K8-J8)/K8)*100</f>
        <v/>
      </c>
      <c r="M8" s="13">
        <f>IF(L8&lt;0.00001,"SI","NO")</f>
        <v/>
      </c>
    </row>
    <row r="9">
      <c r="A9" s="19" t="n">
        <v>7</v>
      </c>
      <c r="B9" s="19">
        <f>K10-((K11-K10)^2)/(K12-2*K11+K10)</f>
        <v/>
      </c>
      <c r="C9" s="19">
        <f>ABS((B9-B8)/B9)*100</f>
        <v/>
      </c>
      <c r="D9" s="19">
        <f>IF(C9&lt;0.00001,"SI","NO")</f>
        <v/>
      </c>
      <c r="I9" s="14" t="n">
        <v>6</v>
      </c>
      <c r="J9" s="14">
        <f>K8</f>
        <v/>
      </c>
      <c r="K9" s="14">
        <f>(1/(1+J9))*(2+J9)</f>
        <v/>
      </c>
      <c r="L9" s="14">
        <f>ABS((K9-J9)/K9)*100</f>
        <v/>
      </c>
      <c r="M9" s="14">
        <f>IF(L9&lt;0.00001,"SI","NO")</f>
        <v/>
      </c>
    </row>
    <row r="10">
      <c r="A10" s="18" t="n">
        <v>8</v>
      </c>
      <c r="B10" s="18">
        <f>K11-((K12-K11)^2)/(K13-2*K12+K11)</f>
        <v/>
      </c>
      <c r="C10" s="18">
        <f>ABS((B10-B9)/B10)*100</f>
        <v/>
      </c>
      <c r="D10" s="18">
        <f>IF(C10&lt;0.00001,"SI","NO")</f>
        <v/>
      </c>
      <c r="I10" s="14" t="n">
        <v>7</v>
      </c>
      <c r="J10" s="14">
        <f>K9</f>
        <v/>
      </c>
      <c r="K10" s="14">
        <f>(1/(1+J10))*(2+J10)</f>
        <v/>
      </c>
      <c r="L10" s="14">
        <f>ABS((K10-J10)/K10)*100</f>
        <v/>
      </c>
      <c r="M10" s="14">
        <f>IF(L10&lt;0.00001,"SI","NO")</f>
        <v/>
      </c>
    </row>
    <row r="11">
      <c r="A11" s="19" t="n">
        <v>9</v>
      </c>
      <c r="B11" s="19">
        <f>K12-((K13-K12)^2)/(K14-2*K13+K12)</f>
        <v/>
      </c>
      <c r="C11" s="19">
        <f>ABS((B11-B10)/B11)*100</f>
        <v/>
      </c>
      <c r="D11" s="19">
        <f>IF(C11&lt;0.00001,"SI","NO")</f>
        <v/>
      </c>
      <c r="I11" s="14" t="n">
        <v>8</v>
      </c>
      <c r="J11" s="14">
        <f>K10</f>
        <v/>
      </c>
      <c r="K11" s="14">
        <f>(1/(1+J11))*(2+J11)</f>
        <v/>
      </c>
      <c r="L11" s="14">
        <f>ABS((K11-J11)/K11)*100</f>
        <v/>
      </c>
      <c r="M11" s="14">
        <f>IF(L11&lt;0.00001,"SI","NO")</f>
        <v/>
      </c>
    </row>
    <row r="12">
      <c r="A12" s="18" t="n">
        <v>10</v>
      </c>
      <c r="B12" s="18">
        <f>K13-((K14-K13)^2)/(K15-2*K14+K13)</f>
        <v/>
      </c>
      <c r="C12" s="18">
        <f>ABS((B12-B11)/B12)*100</f>
        <v/>
      </c>
      <c r="D12" s="18">
        <f>IF(C12&lt;0.00001,"SI","NO")</f>
        <v/>
      </c>
      <c r="I12" s="13" t="n">
        <v>9</v>
      </c>
      <c r="J12" s="13">
        <f>K11</f>
        <v/>
      </c>
      <c r="K12" s="13">
        <f>(1/(1+J12))*(2+J12)</f>
        <v/>
      </c>
      <c r="L12" s="13">
        <f>ABS((K12-J12)/K12)*100</f>
        <v/>
      </c>
      <c r="M12" s="13">
        <f>IF(L12&lt;0.00001,"SI","NO")</f>
        <v/>
      </c>
    </row>
    <row r="13">
      <c r="A13" s="19" t="n">
        <v>11</v>
      </c>
      <c r="B13" s="19">
        <f>K14-((K15-K14)^2)/(K16-2*K15+K14)</f>
        <v/>
      </c>
      <c r="C13" s="19">
        <f>ABS((B13-B12)/B13)*100</f>
        <v/>
      </c>
      <c r="D13" s="19">
        <f>IF(C13&lt;0.00001,"SI","NO")</f>
        <v/>
      </c>
      <c r="I13" s="13" t="n">
        <v>10</v>
      </c>
      <c r="J13" s="13">
        <f>K12</f>
        <v/>
      </c>
      <c r="K13" s="13">
        <f>(1/(1+J13))*(2+J13)</f>
        <v/>
      </c>
      <c r="L13" s="13">
        <f>ABS((K13-J13)/K13)*100</f>
        <v/>
      </c>
      <c r="M13" s="13">
        <f>IF(L13&lt;0.00001,"SI","NO")</f>
        <v/>
      </c>
    </row>
    <row r="14">
      <c r="A14" s="18" t="n">
        <v>12</v>
      </c>
      <c r="B14" s="18">
        <f>K15-((K16-K15)^2)/(K17-2*K16+K15)</f>
        <v/>
      </c>
      <c r="C14" s="18">
        <f>ABS((B14-B13)/B14)*100</f>
        <v/>
      </c>
      <c r="D14" s="18">
        <f>IF(C14&lt;0.00001,"SI","NO")</f>
        <v/>
      </c>
      <c r="I14" s="13" t="n">
        <v>11</v>
      </c>
      <c r="J14" s="13">
        <f>K13</f>
        <v/>
      </c>
      <c r="K14" s="13">
        <f>(1/(1+J14))*(2+J14)</f>
        <v/>
      </c>
      <c r="L14" s="13">
        <f>ABS((K14-J14)/K14)*100</f>
        <v/>
      </c>
      <c r="M14" s="13">
        <f>IF(L14&lt;0.00001,"SI","NO")</f>
        <v/>
      </c>
    </row>
    <row r="15">
      <c r="A15" s="19" t="n">
        <v>13</v>
      </c>
      <c r="B15" s="19">
        <f>K16-((K17-K16)^2)/(K18-2*K17+K16)</f>
        <v/>
      </c>
      <c r="C15" s="19">
        <f>ABS((B15-B14)/B15)*100</f>
        <v/>
      </c>
      <c r="D15" s="19">
        <f>IF(C15&lt;0.00001,"SI","NO")</f>
        <v/>
      </c>
      <c r="I15" s="14" t="n">
        <v>12</v>
      </c>
      <c r="J15" s="14">
        <f>K14</f>
        <v/>
      </c>
      <c r="K15" s="14">
        <f>(1/(1+J15))*(2+J15)</f>
        <v/>
      </c>
      <c r="L15" s="14">
        <f>ABS((K15-J15)/K15)*100</f>
        <v/>
      </c>
      <c r="M15" s="14">
        <f>IF(L15&lt;0.00001,"SI","NO")</f>
        <v/>
      </c>
    </row>
    <row r="16">
      <c r="A16" s="18" t="n">
        <v>14</v>
      </c>
      <c r="B16" s="18">
        <f>K17-((K18-K17)^2)/(K19-2*K18+K17)</f>
        <v/>
      </c>
      <c r="C16" s="18">
        <f>ABS((B16-B15)/B16)*100</f>
        <v/>
      </c>
      <c r="D16" s="18">
        <f>IF(C16&lt;0.00001,"SI","NO")</f>
        <v/>
      </c>
      <c r="I16" s="14" t="n">
        <v>13</v>
      </c>
      <c r="J16" s="14">
        <f>K15</f>
        <v/>
      </c>
      <c r="K16" s="14">
        <f>(1/(1+J16))*(2+J16)</f>
        <v/>
      </c>
      <c r="L16" s="14">
        <f>ABS((K16-J16)/K16)*100</f>
        <v/>
      </c>
      <c r="M16" s="14">
        <f>IF(L16&lt;0.00001,"SI","NO")</f>
        <v/>
      </c>
    </row>
    <row r="17">
      <c r="A17" s="19" t="n">
        <v>15</v>
      </c>
      <c r="B17" s="19">
        <f>K18-((K19-K18)^2)/(K20-2*K19+K18)</f>
        <v/>
      </c>
      <c r="C17" s="19">
        <f>ABS((B17-B16)/B17)*100</f>
        <v/>
      </c>
      <c r="D17" s="19">
        <f>IF(C17&lt;0.00001,"SI","NO")</f>
        <v/>
      </c>
      <c r="I17" s="14" t="n">
        <v>14</v>
      </c>
      <c r="J17" s="14">
        <f>K16</f>
        <v/>
      </c>
      <c r="K17" s="14">
        <f>(1/(1+J17))*(2+J17)</f>
        <v/>
      </c>
      <c r="L17" s="14">
        <f>ABS((K17-J17)/K17)*100</f>
        <v/>
      </c>
      <c r="M17" s="14">
        <f>IF(L17&lt;0.00001,"SI","NO")</f>
        <v/>
      </c>
    </row>
    <row r="18">
      <c r="A18" s="18" t="n">
        <v>16</v>
      </c>
      <c r="B18" s="18">
        <f>K19-((K20-K19)^2)/(K21-2*K20+K19)</f>
        <v/>
      </c>
      <c r="C18" s="18">
        <f>ABS((B18-B17)/B18)*100</f>
        <v/>
      </c>
      <c r="D18" s="18">
        <f>IF(C18&lt;0.00001,"SI","NO")</f>
        <v/>
      </c>
      <c r="I18" s="13" t="n">
        <v>15</v>
      </c>
      <c r="J18" s="13">
        <f>K17</f>
        <v/>
      </c>
      <c r="K18" s="13">
        <f>(1/(1+J18))*(2+J18)</f>
        <v/>
      </c>
      <c r="L18" s="13">
        <f>ABS((K18-J18)/K18)*100</f>
        <v/>
      </c>
      <c r="M18" s="13">
        <f>IF(L18&lt;0.00001,"SI","NO")</f>
        <v/>
      </c>
    </row>
    <row r="19">
      <c r="A19" s="19" t="n">
        <v>17</v>
      </c>
      <c r="B19" s="19">
        <f>K20-((K21-K20)^2)/(K22-2*K21+K20)</f>
        <v/>
      </c>
      <c r="C19" s="19">
        <f>ABS((B19-B18)/B19)*100</f>
        <v/>
      </c>
      <c r="D19" s="19">
        <f>IF(C19&lt;0.00001,"SI","NO")</f>
        <v/>
      </c>
      <c r="I19" s="13" t="n">
        <v>16</v>
      </c>
      <c r="J19" s="13">
        <f>K18</f>
        <v/>
      </c>
      <c r="K19" s="13">
        <f>(1/(1+J19))*(2+J19)</f>
        <v/>
      </c>
      <c r="L19" s="13">
        <f>ABS((K19-J19)/K19)*100</f>
        <v/>
      </c>
      <c r="M19" s="13">
        <f>IF(L19&lt;0.00001,"SI","NO")</f>
        <v/>
      </c>
    </row>
    <row r="20">
      <c r="A20" s="18" t="n">
        <v>18</v>
      </c>
      <c r="B20" s="18">
        <f>K21-((K22-K21)^2)/(K23-2*K22+K21)</f>
        <v/>
      </c>
      <c r="C20" s="18">
        <f>ABS((B20-B19)/B20)*100</f>
        <v/>
      </c>
      <c r="D20" s="18">
        <f>IF(C20&lt;0.00001,"SI","NO")</f>
        <v/>
      </c>
      <c r="I20" s="13" t="n">
        <v>17</v>
      </c>
      <c r="J20" s="13">
        <f>K19</f>
        <v/>
      </c>
      <c r="K20" s="13">
        <f>(1/(1+J20))*(2+J20)</f>
        <v/>
      </c>
      <c r="L20" s="13">
        <f>ABS((K20-J20)/K20)*100</f>
        <v/>
      </c>
      <c r="M20" s="13">
        <f>IF(L20&lt;0.00001,"SI","NO")</f>
        <v/>
      </c>
    </row>
    <row r="21">
      <c r="A21" s="19" t="n">
        <v>19</v>
      </c>
      <c r="B21" s="19">
        <f>K22-((K23-K22)^2)/(K24-2*K23+K22)</f>
        <v/>
      </c>
      <c r="C21" s="19">
        <f>ABS((B21-B20)/B21)*100</f>
        <v/>
      </c>
      <c r="D21" s="19">
        <f>IF(C21&lt;0.00001,"SI","NO")</f>
        <v/>
      </c>
      <c r="I21" s="14" t="n">
        <v>18</v>
      </c>
      <c r="J21" s="14">
        <f>K20</f>
        <v/>
      </c>
      <c r="K21" s="14">
        <f>(1/(1+J21))*(2+J21)</f>
        <v/>
      </c>
      <c r="L21" s="14">
        <f>ABS((K21-J21)/K21)*100</f>
        <v/>
      </c>
      <c r="M21" s="14">
        <f>IF(L21&lt;0.00001,"SI","NO")</f>
        <v/>
      </c>
    </row>
    <row r="22">
      <c r="A22" s="18" t="n">
        <v>20</v>
      </c>
      <c r="B22" s="18">
        <f>K23-((K24-K23)^2)/(K25-2*K24+K23)</f>
        <v/>
      </c>
      <c r="C22" s="18">
        <f>ABS((B22-B21)/B22)*100</f>
        <v/>
      </c>
      <c r="D22" s="18">
        <f>IF(C22&lt;0.00001,"SI","NO")</f>
        <v/>
      </c>
      <c r="I22" s="14" t="n">
        <v>19</v>
      </c>
      <c r="J22" s="14">
        <f>K21</f>
        <v/>
      </c>
      <c r="K22" s="14">
        <f>(1/(1+J22))*(2+J22)</f>
        <v/>
      </c>
      <c r="L22" s="14">
        <f>ABS((K22-J22)/K22)*100</f>
        <v/>
      </c>
      <c r="M22" s="14">
        <f>IF(L22&lt;0.00001,"SI","NO")</f>
        <v/>
      </c>
    </row>
    <row r="23">
      <c r="A23" s="19" t="n">
        <v>21</v>
      </c>
      <c r="B23" s="19">
        <f>K24-((K25-K24)^2)/(K26-2*K25+K24)</f>
        <v/>
      </c>
      <c r="C23" s="19">
        <f>ABS((B23-B22)/B23)*100</f>
        <v/>
      </c>
      <c r="D23" s="19">
        <f>IF(C23&lt;0.00001,"SI","NO")</f>
        <v/>
      </c>
      <c r="I23" s="14" t="n">
        <v>20</v>
      </c>
      <c r="J23" s="14">
        <f>K22</f>
        <v/>
      </c>
      <c r="K23" s="14">
        <f>(1/(1+J23))*(2+J23)</f>
        <v/>
      </c>
      <c r="L23" s="14">
        <f>ABS((K23-J23)/K23)*100</f>
        <v/>
      </c>
      <c r="M23" s="14">
        <f>IF(L23&lt;0.00001,"SI","NO")</f>
        <v/>
      </c>
    </row>
    <row r="24">
      <c r="A24" s="18" t="n">
        <v>22</v>
      </c>
      <c r="B24" s="18">
        <f>K25-((K26-K25)^2)/(K27-2*K26+K25)</f>
        <v/>
      </c>
      <c r="C24" s="18">
        <f>ABS((B24-B23)/B24)*100</f>
        <v/>
      </c>
      <c r="D24" s="18">
        <f>IF(C24&lt;0.00001,"SI","NO")</f>
        <v/>
      </c>
      <c r="I24" s="13" t="n">
        <v>21</v>
      </c>
      <c r="J24" s="13">
        <f>K23</f>
        <v/>
      </c>
      <c r="K24" s="13">
        <f>(1/(1+J24))*(2+J24)</f>
        <v/>
      </c>
      <c r="L24" s="13">
        <f>ABS((K24-J24)/K24)*100</f>
        <v/>
      </c>
      <c r="M24" s="13">
        <f>IF(L24&lt;0.00001,"SI","NO")</f>
        <v/>
      </c>
    </row>
    <row r="25">
      <c r="A25" s="19" t="n">
        <v>23</v>
      </c>
      <c r="B25" s="19">
        <f>K26-((K27-K26)^2)/(K28-2*K27+K26)</f>
        <v/>
      </c>
      <c r="C25" s="19">
        <f>ABS((B25-B24)/B25)*100</f>
        <v/>
      </c>
      <c r="D25" s="19">
        <f>IF(C25&lt;0.00001,"SI","NO")</f>
        <v/>
      </c>
      <c r="I25" s="13" t="n">
        <v>22</v>
      </c>
      <c r="J25" s="13">
        <f>K24</f>
        <v/>
      </c>
      <c r="K25" s="13">
        <f>(1/(1+J25))*(2+J25)</f>
        <v/>
      </c>
      <c r="L25" s="13">
        <f>ABS((K25-J25)/K25)*100</f>
        <v/>
      </c>
      <c r="M25" s="13">
        <f>IF(L25&lt;0.00001,"SI","NO")</f>
        <v/>
      </c>
    </row>
    <row r="26">
      <c r="A26" s="18" t="n">
        <v>24</v>
      </c>
      <c r="B26" s="18">
        <f>K27-((K28-K27)^2)/(K29-2*K28+K27)</f>
        <v/>
      </c>
      <c r="C26" s="18">
        <f>ABS((B26-B25)/B26)*100</f>
        <v/>
      </c>
      <c r="D26" s="18">
        <f>IF(C26&lt;0.00001,"SI","NO")</f>
        <v/>
      </c>
      <c r="I26" s="13" t="n">
        <v>23</v>
      </c>
      <c r="J26" s="13">
        <f>K25</f>
        <v/>
      </c>
      <c r="K26" s="13">
        <f>(1/(1+J26))*(2+J26)</f>
        <v/>
      </c>
      <c r="L26" s="13">
        <f>ABS((K26-J26)/K26)*100</f>
        <v/>
      </c>
      <c r="M26" s="13">
        <f>IF(L26&lt;0.00001,"SI","NO")</f>
        <v/>
      </c>
    </row>
    <row r="27" ht="17.25" customHeight="1">
      <c r="A27" s="10" t="inlineStr">
        <is>
          <t>MÉTODO DE AITKEN (Δ²)  —  x3 - 2*x - 5</t>
        </is>
      </c>
      <c r="I27" s="14" t="n">
        <v>24</v>
      </c>
      <c r="J27" s="14">
        <f>K26</f>
        <v/>
      </c>
      <c r="K27" s="14">
        <f>(1/(1+J27))*(2+J27)</f>
        <v/>
      </c>
      <c r="L27" s="14">
        <f>ABS((K27-J27)/K27)*100</f>
        <v/>
      </c>
      <c r="M27" s="14">
        <f>IF(L27&lt;0.00001,"SI","NO")</f>
        <v/>
      </c>
    </row>
    <row r="28" ht="15" customHeight="1">
      <c r="A28" s="11" t="inlineStr">
        <is>
          <t>Ecuación:</t>
        </is>
      </c>
      <c r="B28" s="6" t="inlineStr">
        <is>
          <t>x3 - 2*x - 5</t>
        </is>
      </c>
      <c r="D28" s="11" t="inlineStr">
        <is>
          <t>g(x):</t>
        </is>
      </c>
      <c r="I28" s="14" t="n">
        <v>25</v>
      </c>
      <c r="J28" s="14">
        <f>K27</f>
        <v/>
      </c>
      <c r="K28" s="14">
        <f>(1/(1+J28))*(2+J28)</f>
        <v/>
      </c>
      <c r="L28" s="14">
        <f>ABS((K28-J28)/K28)*100</f>
        <v/>
      </c>
      <c r="M28" s="14">
        <f>IF(L28&lt;0.00001,"SI","NO")</f>
        <v/>
      </c>
    </row>
    <row r="29">
      <c r="I29" s="14" t="n">
        <v>26</v>
      </c>
      <c r="J29" s="14">
        <f>K28</f>
        <v/>
      </c>
      <c r="K29" s="14">
        <f>(1/(1+J29))*(2+J29)</f>
        <v/>
      </c>
      <c r="L29" s="14">
        <f>ABS((K29-J29)/K29)*100</f>
        <v/>
      </c>
      <c r="M29" s="14">
        <f>IF(L29&lt;0.00001,"SI","NO")</f>
        <v/>
      </c>
    </row>
    <row r="30">
      <c r="I30" s="13" t="n">
        <v>27</v>
      </c>
      <c r="J30" s="13">
        <f>K29</f>
        <v/>
      </c>
      <c r="K30" s="13">
        <f>(1/(1+J30))*(2+J30)</f>
        <v/>
      </c>
      <c r="L30" s="13">
        <f>ABS((K30-J30)/K30)*100</f>
        <v/>
      </c>
      <c r="M30" s="13">
        <f>IF(L30&lt;0.00001,"SI","NO")</f>
        <v/>
      </c>
    </row>
    <row r="31">
      <c r="I31" s="13" t="n">
        <v>28</v>
      </c>
      <c r="J31" s="13">
        <f>K30</f>
        <v/>
      </c>
      <c r="K31" s="13">
        <f>(1/(1+J31))*(2+J31)</f>
        <v/>
      </c>
      <c r="L31" s="13">
        <f>ABS((K31-J31)/K31)*100</f>
        <v/>
      </c>
      <c r="M31" s="13">
        <f>IF(L31&lt;0.00001,"SI","NO")</f>
        <v/>
      </c>
    </row>
  </sheetData>
  <mergeCells count="2">
    <mergeCell ref="I1:M1"/>
    <mergeCell ref="A27:D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5" customWidth="1" min="9" max="9"/>
    <col width="22" customWidth="1" min="10" max="10"/>
    <col width="22" customWidth="1" min="11" max="11"/>
    <col width="12" customWidth="1" min="12" max="12"/>
    <col width="14" customWidth="1" min="13" max="13"/>
  </cols>
  <sheetData>
    <row r="1">
      <c r="A1" s="17" t="inlineStr">
        <is>
          <t>k</t>
        </is>
      </c>
      <c r="B1" s="17" t="inlineStr">
        <is>
          <t>p̂ₖ  (Steffensen)</t>
        </is>
      </c>
      <c r="C1" s="17" t="inlineStr">
        <is>
          <t>Error %</t>
        </is>
      </c>
      <c r="D1" s="17" t="inlineStr">
        <is>
          <t>Convergencia</t>
        </is>
      </c>
    </row>
    <row r="2">
      <c r="A2" s="20" t="n">
        <v>0</v>
      </c>
      <c r="B2" s="20">
        <f>J7-((J8-J7)^2)/(J9-2*J8+J7)</f>
        <v/>
      </c>
      <c r="C2" s="20" t="inlineStr"/>
      <c r="D2" s="20" t="inlineStr"/>
    </row>
    <row r="3">
      <c r="A3" s="19" t="n">
        <v>1</v>
      </c>
      <c r="B3" s="19">
        <f>J8-((J9-J8)^2)/(J10-2*J9+J8)</f>
        <v/>
      </c>
      <c r="C3" s="19">
        <f>ABS((B3-B2)/B3)*100</f>
        <v/>
      </c>
      <c r="D3" s="19">
        <f>IF(C3&lt;0.00001,"SI","NO")</f>
        <v/>
      </c>
    </row>
    <row r="4" ht="17.25" customHeight="1">
      <c r="A4" s="10" t="inlineStr">
        <is>
          <t>MÉTODO DE STEFFENSEN  —  x3 - 2*x - 5</t>
        </is>
      </c>
    </row>
    <row r="5">
      <c r="A5" s="11" t="inlineStr">
        <is>
          <t>Ecuación:</t>
        </is>
      </c>
      <c r="B5" s="6" t="inlineStr">
        <is>
          <t>x3 - 2*x - 5</t>
        </is>
      </c>
      <c r="D5" s="11" t="inlineStr">
        <is>
          <t>Base: Aitken (Δ² sobre Punto Fijo)</t>
        </is>
      </c>
    </row>
    <row r="6">
      <c r="I6" s="17" t="inlineStr">
        <is>
          <t>k</t>
        </is>
      </c>
      <c r="J6" s="17" t="inlineStr">
        <is>
          <t>x̂ₖ  (Aitken Δ²)</t>
        </is>
      </c>
      <c r="K6" s="17" t="inlineStr">
        <is>
          <t>Error %</t>
        </is>
      </c>
      <c r="L6" s="17" t="inlineStr">
        <is>
          <t>Conv</t>
        </is>
      </c>
    </row>
    <row r="7">
      <c r="I7" s="18" t="n">
        <v>0</v>
      </c>
      <c r="J7" s="18">
        <f>K19-((K20-K19)^2)/(K21-2*K20+K19)</f>
        <v/>
      </c>
      <c r="K7" s="18" t="inlineStr"/>
      <c r="L7" s="18" t="inlineStr"/>
    </row>
    <row r="8">
      <c r="I8" s="19" t="n">
        <v>1</v>
      </c>
      <c r="J8" s="19">
        <f>K20-((K21-K20)^2)/(K22-2*K21+K20)</f>
        <v/>
      </c>
      <c r="K8" s="19">
        <f>ABS((J8-J7)/J8)*100</f>
        <v/>
      </c>
      <c r="L8" s="19">
        <f>IF(K8&lt;0.00001,"SI","NO")</f>
        <v/>
      </c>
    </row>
    <row r="9">
      <c r="I9" s="18" t="n">
        <v>2</v>
      </c>
      <c r="J9" s="18">
        <f>K21-((K22-K21)^2)/(K23-2*K22+K21)</f>
        <v/>
      </c>
      <c r="K9" s="18">
        <f>ABS((J9-J8)/J9)*100</f>
        <v/>
      </c>
      <c r="L9" s="18">
        <f>IF(K9&lt;0.00001,"SI","NO")</f>
        <v/>
      </c>
    </row>
    <row r="10">
      <c r="I10" s="19" t="n">
        <v>3</v>
      </c>
      <c r="J10" s="19">
        <f>K22-((K23-K22)^2)/(K24-2*K23+K22)</f>
        <v/>
      </c>
      <c r="K10" s="19">
        <f>ABS((J10-J9)/J10)*100</f>
        <v/>
      </c>
      <c r="L10" s="19">
        <f>IF(K10&lt;0.00001,"SI","NO")</f>
        <v/>
      </c>
    </row>
    <row r="12" ht="17.25" customHeight="1">
      <c r="I12" s="10" t="inlineStr">
        <is>
          <t>MÉTODO DE AITKEN (Δ²)  —  x3 - 2*x - 5</t>
        </is>
      </c>
    </row>
    <row r="13">
      <c r="I13" s="11" t="inlineStr">
        <is>
          <t>Ecuación:</t>
        </is>
      </c>
      <c r="J13" s="6" t="inlineStr">
        <is>
          <t>x3 - 2*x - 5</t>
        </is>
      </c>
      <c r="L13" s="11" t="inlineStr">
        <is>
          <t>Base: Punto Fijo</t>
        </is>
      </c>
    </row>
    <row r="16" ht="17.25" customHeight="1">
      <c r="I16" s="15" t="inlineStr">
        <is>
          <t>MÉTODO DE PUNTO FIJO  —  x3 - 2*x - 5</t>
        </is>
      </c>
    </row>
    <row r="17">
      <c r="I17" s="16" t="inlineStr">
        <is>
          <t>Ecuación:</t>
        </is>
      </c>
      <c r="J17" s="6" t="inlineStr">
        <is>
          <t>x3 - 2*x - 5</t>
        </is>
      </c>
      <c r="L17" s="16" t="inlineStr">
        <is>
          <t>g(x):</t>
        </is>
      </c>
      <c r="M17" s="6" t="inlineStr">
        <is>
          <t>g(x) = (x+2)/(x+1)</t>
        </is>
      </c>
    </row>
    <row r="18">
      <c r="I18" s="12" t="inlineStr">
        <is>
          <t>k</t>
        </is>
      </c>
      <c r="J18" s="12" t="inlineStr">
        <is>
          <t>xₖ</t>
        </is>
      </c>
      <c r="K18" s="12" t="inlineStr">
        <is>
          <t>g(xₖ)</t>
        </is>
      </c>
      <c r="L18" s="12" t="inlineStr">
        <is>
          <t>Error %</t>
        </is>
      </c>
      <c r="M18" s="12" t="inlineStr">
        <is>
          <t>Convergencia</t>
        </is>
      </c>
    </row>
    <row r="19">
      <c r="I19" s="13" t="n">
        <v>0</v>
      </c>
      <c r="J19" s="13" t="n">
        <v>1</v>
      </c>
      <c r="K19" s="13">
        <f>(1/(1+J19))*(2+J19)</f>
        <v/>
      </c>
      <c r="L19" s="13" t="inlineStr"/>
      <c r="M19" s="13" t="inlineStr"/>
    </row>
    <row r="20">
      <c r="I20" s="14" t="n">
        <v>1</v>
      </c>
      <c r="J20" s="14">
        <f>K19</f>
        <v/>
      </c>
      <c r="K20" s="14">
        <f>(1/(1+J20))*(2+J20)</f>
        <v/>
      </c>
      <c r="L20" s="14">
        <f>ABS((K20-J20)/K20)*100</f>
        <v/>
      </c>
      <c r="M20" s="14">
        <f>IF(L20&lt;0.00001,"SI","NO")</f>
        <v/>
      </c>
    </row>
    <row r="21">
      <c r="I21" s="13" t="n">
        <v>2</v>
      </c>
      <c r="J21" s="13">
        <f>K20</f>
        <v/>
      </c>
      <c r="K21" s="13">
        <f>(1/(1+J21))*(2+J21)</f>
        <v/>
      </c>
      <c r="L21" s="13">
        <f>ABS((K21-J21)/K21)*100</f>
        <v/>
      </c>
      <c r="M21" s="13">
        <f>IF(L21&lt;0.00001,"SI","NO")</f>
        <v/>
      </c>
    </row>
    <row r="22">
      <c r="I22" s="14" t="n">
        <v>3</v>
      </c>
      <c r="J22" s="14">
        <f>K21</f>
        <v/>
      </c>
      <c r="K22" s="14">
        <f>(1/(1+J22))*(2+J22)</f>
        <v/>
      </c>
      <c r="L22" s="14">
        <f>ABS((K22-J22)/K22)*100</f>
        <v/>
      </c>
      <c r="M22" s="14">
        <f>IF(L22&lt;0.00001,"SI","NO")</f>
        <v/>
      </c>
    </row>
    <row r="23">
      <c r="I23" s="13" t="n">
        <v>4</v>
      </c>
      <c r="J23" s="13">
        <f>K22</f>
        <v/>
      </c>
      <c r="K23" s="13">
        <f>(1/(1+J23))*(2+J23)</f>
        <v/>
      </c>
      <c r="L23" s="13">
        <f>ABS((K23-J23)/K23)*100</f>
        <v/>
      </c>
      <c r="M23" s="13">
        <f>IF(L23&lt;0.00001,"SI","NO")</f>
        <v/>
      </c>
    </row>
    <row r="24">
      <c r="I24" s="14" t="n">
        <v>5</v>
      </c>
      <c r="J24" s="14">
        <f>K23</f>
        <v/>
      </c>
      <c r="K24" s="14">
        <f>(1/(1+J24))*(2+J24)</f>
        <v/>
      </c>
      <c r="L24" s="14">
        <f>ABS((K24-J24)/K24)*100</f>
        <v/>
      </c>
      <c r="M24" s="14">
        <f>IF(L24&lt;0.00001,"SI","NO")</f>
        <v/>
      </c>
    </row>
    <row r="25">
      <c r="I25" s="13" t="n">
        <v>6</v>
      </c>
      <c r="J25" s="13">
        <f>K24</f>
        <v/>
      </c>
      <c r="K25" s="13">
        <f>(1/(1+J25))*(2+J25)</f>
        <v/>
      </c>
      <c r="L25" s="13">
        <f>ABS((K25-J25)/K25)*100</f>
        <v/>
      </c>
      <c r="M25" s="13">
        <f>IF(L25&lt;0.00001,"SI","NO")</f>
        <v/>
      </c>
    </row>
    <row r="26">
      <c r="I26" s="14" t="n">
        <v>7</v>
      </c>
      <c r="J26" s="14">
        <f>K25</f>
        <v/>
      </c>
      <c r="K26" s="14">
        <f>(1/(1+J26))*(2+J26)</f>
        <v/>
      </c>
      <c r="L26" s="14">
        <f>ABS((K26-J26)/K26)*100</f>
        <v/>
      </c>
      <c r="M26" s="14">
        <f>IF(L26&lt;0.00001,"SI","NO")</f>
        <v/>
      </c>
    </row>
    <row r="27">
      <c r="I27" s="13" t="n">
        <v>8</v>
      </c>
      <c r="J27" s="13">
        <f>K26</f>
        <v/>
      </c>
      <c r="K27" s="13">
        <f>(1/(1+J27))*(2+J27)</f>
        <v/>
      </c>
      <c r="L27" s="13">
        <f>ABS((K27-J27)/K27)*100</f>
        <v/>
      </c>
      <c r="M27" s="13">
        <f>IF(L27&lt;0.00001,"SI","NO")</f>
        <v/>
      </c>
    </row>
    <row r="28">
      <c r="I28" s="14" t="n">
        <v>9</v>
      </c>
      <c r="J28" s="14">
        <f>K27</f>
        <v/>
      </c>
      <c r="K28" s="14">
        <f>(1/(1+J28))*(2+J28)</f>
        <v/>
      </c>
      <c r="L28" s="14">
        <f>ABS((K28-J28)/K28)*100</f>
        <v/>
      </c>
      <c r="M28" s="14">
        <f>IF(L28&lt;0.00001,"SI","NO")</f>
        <v/>
      </c>
    </row>
  </sheetData>
  <mergeCells count="3">
    <mergeCell ref="A4:D4"/>
    <mergeCell ref="I16:M16"/>
    <mergeCell ref="I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21" t="inlineStr">
        <is>
          <t>k</t>
        </is>
      </c>
      <c r="B1" s="21" t="inlineStr">
        <is>
          <t>xₖ</t>
        </is>
      </c>
      <c r="C1" s="21" t="inlineStr">
        <is>
          <t>f(xₖ)</t>
        </is>
      </c>
      <c r="D1" s="21" t="inlineStr">
        <is>
          <t>f'(xₖ)</t>
        </is>
      </c>
      <c r="E1" s="21" t="inlineStr">
        <is>
          <t>xₖ₊₁</t>
        </is>
      </c>
      <c r="F1" s="21" t="inlineStr">
        <is>
          <t>Error %</t>
        </is>
      </c>
      <c r="G1" s="21" t="inlineStr">
        <is>
          <t>Convergencia</t>
        </is>
      </c>
    </row>
    <row r="2" ht="15" customHeight="1">
      <c r="A2" s="22" t="n">
        <v>0</v>
      </c>
      <c r="B2" s="22" t="n">
        <v>1</v>
      </c>
      <c r="C2" s="22">
        <f>-5+B2-2*B2</f>
        <v/>
      </c>
      <c r="D2" s="22">
        <f>-2</f>
        <v/>
      </c>
      <c r="E2" s="22">
        <f>B2-(C2/D2)</f>
        <v/>
      </c>
      <c r="F2" s="22">
        <f>ABS((E2-B2)/E2)*100</f>
        <v/>
      </c>
      <c r="G2" s="22">
        <f>IF(F2&lt;0.00001,"SI","NO")</f>
        <v/>
      </c>
    </row>
    <row r="3" ht="15" customHeight="1">
      <c r="A3" s="23" t="n">
        <v>1</v>
      </c>
      <c r="B3" s="23">
        <f>E2</f>
        <v/>
      </c>
      <c r="C3" s="23">
        <f>-5+B3-2*B3</f>
        <v/>
      </c>
      <c r="D3" s="23">
        <f>-2</f>
        <v/>
      </c>
      <c r="E3" s="23">
        <f>B3-(C3/D3)</f>
        <v/>
      </c>
      <c r="F3" s="23">
        <f>ABS((E3-B3)/E3)*100</f>
        <v/>
      </c>
      <c r="G3" s="23">
        <f>IF(F3&lt;0.00001,"SI","NO")</f>
        <v/>
      </c>
    </row>
    <row r="4" ht="15" customHeight="1">
      <c r="A4" s="22" t="n">
        <v>2</v>
      </c>
      <c r="B4" s="22">
        <f>E3</f>
        <v/>
      </c>
      <c r="C4" s="22">
        <f>-5+B4-2*B4</f>
        <v/>
      </c>
      <c r="D4" s="22">
        <f>-2</f>
        <v/>
      </c>
      <c r="E4" s="22">
        <f>B4-(C4/D4)</f>
        <v/>
      </c>
      <c r="F4" s="22">
        <f>ABS((E4-B4)/E4)*100</f>
        <v/>
      </c>
      <c r="G4" s="22">
        <f>IF(F4&lt;0.00001,"SI","NO")</f>
        <v/>
      </c>
    </row>
    <row r="5" ht="15" customHeight="1">
      <c r="A5" s="23" t="n">
        <v>3</v>
      </c>
      <c r="B5" s="23">
        <f>E4</f>
        <v/>
      </c>
      <c r="C5" s="23">
        <f>-5+B5-2*B5</f>
        <v/>
      </c>
      <c r="D5" s="23">
        <f>-2</f>
        <v/>
      </c>
      <c r="E5" s="23">
        <f>B5-(C5/D5)</f>
        <v/>
      </c>
      <c r="F5" s="23">
        <f>ABS((E5-B5)/E5)*100</f>
        <v/>
      </c>
      <c r="G5" s="23">
        <f>IF(F5&lt;0.00001,"SI","NO")</f>
        <v/>
      </c>
    </row>
    <row r="6" ht="15" customHeight="1">
      <c r="A6" s="22" t="n">
        <v>4</v>
      </c>
      <c r="B6" s="22">
        <f>E5</f>
        <v/>
      </c>
      <c r="C6" s="22">
        <f>-5+B6-2*B6</f>
        <v/>
      </c>
      <c r="D6" s="22">
        <f>-2</f>
        <v/>
      </c>
      <c r="E6" s="22">
        <f>B6-(C6/D6)</f>
        <v/>
      </c>
      <c r="F6" s="22">
        <f>ABS((E6-B6)/E6)*100</f>
        <v/>
      </c>
      <c r="G6" s="22">
        <f>IF(F6&lt;0.00001,"SI","NO")</f>
        <v/>
      </c>
    </row>
    <row r="7" ht="15" customHeight="1">
      <c r="A7" s="23" t="n">
        <v>5</v>
      </c>
      <c r="B7" s="23">
        <f>E6</f>
        <v/>
      </c>
      <c r="C7" s="23">
        <f>-5+B7-2*B7</f>
        <v/>
      </c>
      <c r="D7" s="23">
        <f>-2</f>
        <v/>
      </c>
      <c r="E7" s="23">
        <f>B7-(C7/D7)</f>
        <v/>
      </c>
      <c r="F7" s="23">
        <f>ABS((E7-B7)/E7)*100</f>
        <v/>
      </c>
      <c r="G7" s="23">
        <f>IF(F7&lt;0.00001,"SI","NO")</f>
        <v/>
      </c>
    </row>
    <row r="8" ht="15" customHeight="1">
      <c r="A8" s="22" t="n">
        <v>6</v>
      </c>
      <c r="B8" s="22">
        <f>E7</f>
        <v/>
      </c>
      <c r="C8" s="22">
        <f>-5+B8-2*B8</f>
        <v/>
      </c>
      <c r="D8" s="22">
        <f>-2</f>
        <v/>
      </c>
      <c r="E8" s="22">
        <f>B8-(C8/D8)</f>
        <v/>
      </c>
      <c r="F8" s="22">
        <f>ABS((E8-B8)/E8)*100</f>
        <v/>
      </c>
      <c r="G8" s="22">
        <f>IF(F8&lt;0.00001,"SI","NO")</f>
        <v/>
      </c>
    </row>
    <row r="9" ht="15" customHeight="1">
      <c r="A9" s="23" t="n">
        <v>7</v>
      </c>
      <c r="B9" s="23">
        <f>E8</f>
        <v/>
      </c>
      <c r="C9" s="23">
        <f>-5+B9-2*B9</f>
        <v/>
      </c>
      <c r="D9" s="23">
        <f>-2</f>
        <v/>
      </c>
      <c r="E9" s="23">
        <f>B9-(C9/D9)</f>
        <v/>
      </c>
      <c r="F9" s="23">
        <f>ABS((E9-B9)/E9)*100</f>
        <v/>
      </c>
      <c r="G9" s="23">
        <f>IF(F9&lt;0.00001,"SI","NO")</f>
        <v/>
      </c>
    </row>
    <row r="10" ht="15" customHeight="1">
      <c r="A10" s="22" t="n">
        <v>8</v>
      </c>
      <c r="B10" s="22">
        <f>E9</f>
        <v/>
      </c>
      <c r="C10" s="22">
        <f>-5+B10-2*B10</f>
        <v/>
      </c>
      <c r="D10" s="22">
        <f>-2</f>
        <v/>
      </c>
      <c r="E10" s="22">
        <f>B10-(C10/D10)</f>
        <v/>
      </c>
      <c r="F10" s="22">
        <f>ABS((E10-B10)/E10)*100</f>
        <v/>
      </c>
      <c r="G10" s="22">
        <f>IF(F10&lt;0.00001,"SI","NO")</f>
        <v/>
      </c>
    </row>
    <row r="11" ht="15" customHeight="1">
      <c r="A11" s="23" t="n">
        <v>9</v>
      </c>
      <c r="B11" s="23">
        <f>E10</f>
        <v/>
      </c>
      <c r="C11" s="23">
        <f>-5+B11-2*B11</f>
        <v/>
      </c>
      <c r="D11" s="23">
        <f>-2</f>
        <v/>
      </c>
      <c r="E11" s="23">
        <f>B11-(C11/D11)</f>
        <v/>
      </c>
      <c r="F11" s="23">
        <f>ABS((E11-B11)/E11)*100</f>
        <v/>
      </c>
      <c r="G11" s="23">
        <f>IF(F11&lt;0.00001,"SI","NO")</f>
        <v/>
      </c>
    </row>
    <row r="12" ht="15" customHeight="1">
      <c r="A12" s="22" t="n">
        <v>10</v>
      </c>
      <c r="B12" s="22">
        <f>E11</f>
        <v/>
      </c>
      <c r="C12" s="22">
        <f>-5+B12-2*B12</f>
        <v/>
      </c>
      <c r="D12" s="22">
        <f>-2</f>
        <v/>
      </c>
      <c r="E12" s="22">
        <f>B12-(C12/D12)</f>
        <v/>
      </c>
      <c r="F12" s="22">
        <f>ABS((E12-B12)/E12)*100</f>
        <v/>
      </c>
      <c r="G12" s="22">
        <f>IF(F12&lt;0.00001,"SI","NO")</f>
        <v/>
      </c>
    </row>
    <row r="13" ht="15" customHeight="1">
      <c r="A13" s="23" t="n">
        <v>11</v>
      </c>
      <c r="B13" s="23">
        <f>E12</f>
        <v/>
      </c>
      <c r="C13" s="23">
        <f>-5+B13-2*B13</f>
        <v/>
      </c>
      <c r="D13" s="23">
        <f>-2</f>
        <v/>
      </c>
      <c r="E13" s="23">
        <f>B13-(C13/D13)</f>
        <v/>
      </c>
      <c r="F13" s="23">
        <f>ABS((E13-B13)/E13)*100</f>
        <v/>
      </c>
      <c r="G13" s="23">
        <f>IF(F13&lt;0.00001,"SI","NO")</f>
        <v/>
      </c>
    </row>
    <row r="14" ht="15" customHeight="1">
      <c r="A14" s="22" t="n">
        <v>12</v>
      </c>
      <c r="B14" s="22">
        <f>E13</f>
        <v/>
      </c>
      <c r="C14" s="22">
        <f>-5+B14-2*B14</f>
        <v/>
      </c>
      <c r="D14" s="22">
        <f>-2</f>
        <v/>
      </c>
      <c r="E14" s="22">
        <f>B14-(C14/D14)</f>
        <v/>
      </c>
      <c r="F14" s="22">
        <f>ABS((E14-B14)/E14)*100</f>
        <v/>
      </c>
      <c r="G14" s="22">
        <f>IF(F14&lt;0.00001,"SI","NO")</f>
        <v/>
      </c>
    </row>
    <row r="15" ht="15" customHeight="1">
      <c r="A15" s="23" t="n">
        <v>13</v>
      </c>
      <c r="B15" s="23">
        <f>E14</f>
        <v/>
      </c>
      <c r="C15" s="23">
        <f>-5+B15-2*B15</f>
        <v/>
      </c>
      <c r="D15" s="23">
        <f>-2</f>
        <v/>
      </c>
      <c r="E15" s="23">
        <f>B15-(C15/D15)</f>
        <v/>
      </c>
      <c r="F15" s="23">
        <f>ABS((E15-B15)/E15)*100</f>
        <v/>
      </c>
      <c r="G15" s="23">
        <f>IF(F15&lt;0.00001,"SI","NO")</f>
        <v/>
      </c>
    </row>
    <row r="16" ht="15" customHeight="1">
      <c r="A16" s="22" t="n">
        <v>14</v>
      </c>
      <c r="B16" s="22">
        <f>E15</f>
        <v/>
      </c>
      <c r="C16" s="22">
        <f>-5+B16-2*B16</f>
        <v/>
      </c>
      <c r="D16" s="22">
        <f>-2</f>
        <v/>
      </c>
      <c r="E16" s="22">
        <f>B16-(C16/D16)</f>
        <v/>
      </c>
      <c r="F16" s="22">
        <f>ABS((E16-B16)/E16)*100</f>
        <v/>
      </c>
      <c r="G16" s="22">
        <f>IF(F16&lt;0.00001,"SI","NO")</f>
        <v/>
      </c>
    </row>
    <row r="17" ht="15" customHeight="1">
      <c r="A17" s="23" t="n">
        <v>15</v>
      </c>
      <c r="B17" s="23">
        <f>E16</f>
        <v/>
      </c>
      <c r="C17" s="23">
        <f>-5+B17-2*B17</f>
        <v/>
      </c>
      <c r="D17" s="23">
        <f>-2</f>
        <v/>
      </c>
      <c r="E17" s="23">
        <f>B17-(C17/D17)</f>
        <v/>
      </c>
      <c r="F17" s="23">
        <f>ABS((E17-B17)/E17)*100</f>
        <v/>
      </c>
      <c r="G17" s="23">
        <f>IF(F17&lt;0.00001,"SI","NO")</f>
        <v/>
      </c>
    </row>
    <row r="18" ht="15" customHeight="1">
      <c r="A18" s="22" t="n">
        <v>16</v>
      </c>
      <c r="B18" s="22">
        <f>E17</f>
        <v/>
      </c>
      <c r="C18" s="22">
        <f>-5+B18-2*B18</f>
        <v/>
      </c>
      <c r="D18" s="22">
        <f>-2</f>
        <v/>
      </c>
      <c r="E18" s="22">
        <f>B18-(C18/D18)</f>
        <v/>
      </c>
      <c r="F18" s="22">
        <f>ABS((E18-B18)/E18)*100</f>
        <v/>
      </c>
      <c r="G18" s="22">
        <f>IF(F18&lt;0.00001,"SI","NO")</f>
        <v/>
      </c>
    </row>
    <row r="19" ht="15" customHeight="1">
      <c r="A19" s="23" t="n">
        <v>17</v>
      </c>
      <c r="B19" s="23">
        <f>E18</f>
        <v/>
      </c>
      <c r="C19" s="23">
        <f>-5+B19-2*B19</f>
        <v/>
      </c>
      <c r="D19" s="23">
        <f>-2</f>
        <v/>
      </c>
      <c r="E19" s="23">
        <f>B19-(C19/D19)</f>
        <v/>
      </c>
      <c r="F19" s="23">
        <f>ABS((E19-B19)/E19)*100</f>
        <v/>
      </c>
      <c r="G19" s="23">
        <f>IF(F19&lt;0.00001,"SI","NO")</f>
        <v/>
      </c>
    </row>
    <row r="20" ht="15" customHeight="1">
      <c r="A20" s="22" t="n">
        <v>18</v>
      </c>
      <c r="B20" s="22">
        <f>E19</f>
        <v/>
      </c>
      <c r="C20" s="22">
        <f>-5+B20-2*B20</f>
        <v/>
      </c>
      <c r="D20" s="22">
        <f>-2</f>
        <v/>
      </c>
      <c r="E20" s="22">
        <f>B20-(C20/D20)</f>
        <v/>
      </c>
      <c r="F20" s="22">
        <f>ABS((E20-B20)/E20)*100</f>
        <v/>
      </c>
      <c r="G20" s="22">
        <f>IF(F20&lt;0.00001,"SI","NO")</f>
        <v/>
      </c>
    </row>
    <row r="21" ht="15" customHeight="1">
      <c r="A21" s="23" t="n">
        <v>19</v>
      </c>
      <c r="B21" s="23">
        <f>E20</f>
        <v/>
      </c>
      <c r="C21" s="23">
        <f>-5+B21-2*B21</f>
        <v/>
      </c>
      <c r="D21" s="23">
        <f>-2</f>
        <v/>
      </c>
      <c r="E21" s="23">
        <f>B21-(C21/D21)</f>
        <v/>
      </c>
      <c r="F21" s="23">
        <f>ABS((E21-B21)/E21)*100</f>
        <v/>
      </c>
      <c r="G21" s="23">
        <f>IF(F21&lt;0.00001,"SI","NO")</f>
        <v/>
      </c>
    </row>
    <row r="22" ht="15" customHeight="1">
      <c r="A22" s="22" t="n">
        <v>20</v>
      </c>
      <c r="B22" s="22">
        <f>E21</f>
        <v/>
      </c>
      <c r="C22" s="22">
        <f>-5+B22-2*B22</f>
        <v/>
      </c>
      <c r="D22" s="22">
        <f>-2</f>
        <v/>
      </c>
      <c r="E22" s="22">
        <f>B22-(C22/D22)</f>
        <v/>
      </c>
      <c r="F22" s="22">
        <f>ABS((E22-B22)/E22)*100</f>
        <v/>
      </c>
      <c r="G22" s="22">
        <f>IF(F22&lt;0.00001,"SI","NO")</f>
        <v/>
      </c>
    </row>
    <row r="23" ht="15" customHeight="1">
      <c r="A23" s="23" t="n">
        <v>21</v>
      </c>
      <c r="B23" s="23">
        <f>E22</f>
        <v/>
      </c>
      <c r="C23" s="23">
        <f>-5+B23-2*B23</f>
        <v/>
      </c>
      <c r="D23" s="23">
        <f>-2</f>
        <v/>
      </c>
      <c r="E23" s="23">
        <f>B23-(C23/D23)</f>
        <v/>
      </c>
      <c r="F23" s="23">
        <f>ABS((E23-B23)/E23)*100</f>
        <v/>
      </c>
      <c r="G23" s="23">
        <f>IF(F23&lt;0.00001,"SI","NO")</f>
        <v/>
      </c>
    </row>
    <row r="24" ht="15" customHeight="1">
      <c r="A24" s="22" t="n">
        <v>22</v>
      </c>
      <c r="B24" s="22">
        <f>E23</f>
        <v/>
      </c>
      <c r="C24" s="22">
        <f>-5+B24-2*B24</f>
        <v/>
      </c>
      <c r="D24" s="22">
        <f>-2</f>
        <v/>
      </c>
      <c r="E24" s="22">
        <f>B24-(C24/D24)</f>
        <v/>
      </c>
      <c r="F24" s="22">
        <f>ABS((E24-B24)/E24)*100</f>
        <v/>
      </c>
      <c r="G24" s="22">
        <f>IF(F24&lt;0.00001,"SI","NO")</f>
        <v/>
      </c>
    </row>
    <row r="25" ht="15" customHeight="1">
      <c r="A25" s="23" t="n">
        <v>23</v>
      </c>
      <c r="B25" s="23">
        <f>E24</f>
        <v/>
      </c>
      <c r="C25" s="23">
        <f>-5+B25-2*B25</f>
        <v/>
      </c>
      <c r="D25" s="23">
        <f>-2</f>
        <v/>
      </c>
      <c r="E25" s="23">
        <f>B25-(C25/D25)</f>
        <v/>
      </c>
      <c r="F25" s="23">
        <f>ABS((E25-B25)/E25)*100</f>
        <v/>
      </c>
      <c r="G25" s="23">
        <f>IF(F25&lt;0.00001,"SI","NO")</f>
        <v/>
      </c>
    </row>
    <row r="26" ht="15" customHeight="1">
      <c r="A26" s="22" t="n">
        <v>24</v>
      </c>
      <c r="B26" s="22">
        <f>E25</f>
        <v/>
      </c>
      <c r="C26" s="22">
        <f>-5+B26-2*B26</f>
        <v/>
      </c>
      <c r="D26" s="22">
        <f>-2</f>
        <v/>
      </c>
      <c r="E26" s="22">
        <f>B26-(C26/D26)</f>
        <v/>
      </c>
      <c r="F26" s="22">
        <f>ABS((E26-B26)/E26)*100</f>
        <v/>
      </c>
      <c r="G26" s="22">
        <f>IF(F26&lt;0.00001,"SI","NO")</f>
        <v/>
      </c>
    </row>
    <row r="27" ht="17.25" customHeight="1">
      <c r="A27" s="24" t="inlineStr">
        <is>
          <t>MÉTODO DE NEWTON-RAPHSON  —  x3 - 2*x - 5</t>
        </is>
      </c>
    </row>
    <row r="28" ht="15" customHeight="1">
      <c r="A28" s="25" t="inlineStr">
        <is>
          <t>Ecuación:</t>
        </is>
      </c>
      <c r="B28" s="6" t="inlineStr">
        <is>
          <t>x3 - 2*x - 5</t>
        </is>
      </c>
      <c r="D28" s="25" t="inlineStr">
        <is>
          <t>Fórmula:</t>
        </is>
      </c>
      <c r="E28" s="6" t="inlineStr">
        <is>
          <t>xₙ₊₁ = xₙ − f(xₙ)/f'(xₙ)</t>
        </is>
      </c>
    </row>
  </sheetData>
  <mergeCells count="1">
    <mergeCell ref="A27:G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26" t="inlineStr">
        <is>
          <t>k</t>
        </is>
      </c>
      <c r="B1" s="26" t="inlineStr">
        <is>
          <t>xₖ</t>
        </is>
      </c>
      <c r="C1" s="26" t="inlineStr">
        <is>
          <t>f(xₖ)</t>
        </is>
      </c>
      <c r="D1" s="26" t="inlineStr">
        <is>
          <t>f'(xₖ)</t>
        </is>
      </c>
      <c r="E1" s="26" t="inlineStr">
        <is>
          <t>f''(xₖ)</t>
        </is>
      </c>
      <c r="F1" s="26" t="inlineStr">
        <is>
          <t>xₖ₊₁</t>
        </is>
      </c>
      <c r="G1" s="26" t="inlineStr">
        <is>
          <t>Error %</t>
        </is>
      </c>
      <c r="H1" s="26" t="inlineStr">
        <is>
          <t>Convergencia</t>
        </is>
      </c>
    </row>
    <row r="2" ht="15" customHeight="1">
      <c r="A2" s="27" t="n">
        <v>0</v>
      </c>
      <c r="B2" s="27" t="n">
        <v>1</v>
      </c>
      <c r="C2" s="27">
        <f>-5+B2-2*B2</f>
        <v/>
      </c>
      <c r="D2" s="27">
        <f>-2</f>
        <v/>
      </c>
      <c r="E2" s="27">
        <f>$B$35</f>
        <v/>
      </c>
      <c r="F2" s="27">
        <f>B2-((C2*D2)/(D2^2-C2*E2))</f>
        <v/>
      </c>
      <c r="G2" s="27">
        <f>ABS((F2-B2)/F2)*100</f>
        <v/>
      </c>
      <c r="H2" s="27">
        <f>IF(G2&lt;0.00001,"SI","NO")</f>
        <v/>
      </c>
    </row>
    <row r="3" ht="15" customHeight="1">
      <c r="A3" s="28" t="n">
        <v>1</v>
      </c>
      <c r="B3" s="28">
        <f>F2</f>
        <v/>
      </c>
      <c r="C3" s="28">
        <f>-5+B3-2*B3</f>
        <v/>
      </c>
      <c r="D3" s="28">
        <f>-2</f>
        <v/>
      </c>
      <c r="E3" s="28">
        <f>$B$35</f>
        <v/>
      </c>
      <c r="F3" s="28">
        <f>B3-((C3*D3)/(D3^2-C3*E3))</f>
        <v/>
      </c>
      <c r="G3" s="28">
        <f>ABS((F3-B3)/F3)*100</f>
        <v/>
      </c>
      <c r="H3" s="28">
        <f>IF(G3&lt;0.00001,"SI","NO")</f>
        <v/>
      </c>
    </row>
    <row r="4" ht="15" customHeight="1">
      <c r="A4" s="27" t="n">
        <v>2</v>
      </c>
      <c r="B4" s="27">
        <f>F3</f>
        <v/>
      </c>
      <c r="C4" s="27">
        <f>-5+B4-2*B4</f>
        <v/>
      </c>
      <c r="D4" s="27">
        <f>-2</f>
        <v/>
      </c>
      <c r="E4" s="27">
        <f>$B$35</f>
        <v/>
      </c>
      <c r="F4" s="27">
        <f>B4-((C4*D4)/(D4^2-C4*E4))</f>
        <v/>
      </c>
      <c r="G4" s="27">
        <f>ABS((F4-B4)/F4)*100</f>
        <v/>
      </c>
      <c r="H4" s="27">
        <f>IF(G4&lt;0.00001,"SI","NO")</f>
        <v/>
      </c>
    </row>
    <row r="5" ht="15" customHeight="1">
      <c r="A5" s="28" t="n">
        <v>3</v>
      </c>
      <c r="B5" s="28">
        <f>F4</f>
        <v/>
      </c>
      <c r="C5" s="28">
        <f>-5+B5-2*B5</f>
        <v/>
      </c>
      <c r="D5" s="28">
        <f>-2</f>
        <v/>
      </c>
      <c r="E5" s="28">
        <f>$B$35</f>
        <v/>
      </c>
      <c r="F5" s="28">
        <f>B5-((C5*D5)/(D5^2-C5*E5))</f>
        <v/>
      </c>
      <c r="G5" s="28">
        <f>ABS((F5-B5)/F5)*100</f>
        <v/>
      </c>
      <c r="H5" s="28">
        <f>IF(G5&lt;0.00001,"SI","NO")</f>
        <v/>
      </c>
    </row>
    <row r="6" ht="15" customHeight="1">
      <c r="A6" s="27" t="n">
        <v>4</v>
      </c>
      <c r="B6" s="27">
        <f>F5</f>
        <v/>
      </c>
      <c r="C6" s="27">
        <f>-5+B6-2*B6</f>
        <v/>
      </c>
      <c r="D6" s="27">
        <f>-2</f>
        <v/>
      </c>
      <c r="E6" s="27">
        <f>$B$35</f>
        <v/>
      </c>
      <c r="F6" s="27">
        <f>B6-((C6*D6)/(D6^2-C6*E6))</f>
        <v/>
      </c>
      <c r="G6" s="27">
        <f>ABS((F6-B6)/F6)*100</f>
        <v/>
      </c>
      <c r="H6" s="27">
        <f>IF(G6&lt;0.00001,"SI","NO")</f>
        <v/>
      </c>
    </row>
    <row r="7" ht="15" customHeight="1">
      <c r="A7" s="28" t="n">
        <v>5</v>
      </c>
      <c r="B7" s="28">
        <f>F6</f>
        <v/>
      </c>
      <c r="C7" s="28">
        <f>-5+B7-2*B7</f>
        <v/>
      </c>
      <c r="D7" s="28">
        <f>-2</f>
        <v/>
      </c>
      <c r="E7" s="28">
        <f>$B$35</f>
        <v/>
      </c>
      <c r="F7" s="28">
        <f>B7-((C7*D7)/(D7^2-C7*E7))</f>
        <v/>
      </c>
      <c r="G7" s="28">
        <f>ABS((F7-B7)/F7)*100</f>
        <v/>
      </c>
      <c r="H7" s="28">
        <f>IF(G7&lt;0.00001,"SI","NO")</f>
        <v/>
      </c>
    </row>
    <row r="8" ht="15" customHeight="1">
      <c r="A8" s="27" t="n">
        <v>6</v>
      </c>
      <c r="B8" s="27">
        <f>F7</f>
        <v/>
      </c>
      <c r="C8" s="27">
        <f>-5+B8-2*B8</f>
        <v/>
      </c>
      <c r="D8" s="27">
        <f>-2</f>
        <v/>
      </c>
      <c r="E8" s="27">
        <f>$B$35</f>
        <v/>
      </c>
      <c r="F8" s="27">
        <f>B8-((C8*D8)/(D8^2-C8*E8))</f>
        <v/>
      </c>
      <c r="G8" s="27">
        <f>ABS((F8-B8)/F8)*100</f>
        <v/>
      </c>
      <c r="H8" s="27">
        <f>IF(G8&lt;0.00001,"SI","NO")</f>
        <v/>
      </c>
    </row>
    <row r="9" ht="15" customHeight="1">
      <c r="A9" s="28" t="n">
        <v>7</v>
      </c>
      <c r="B9" s="28">
        <f>F8</f>
        <v/>
      </c>
      <c r="C9" s="28">
        <f>-5+B9-2*B9</f>
        <v/>
      </c>
      <c r="D9" s="28">
        <f>-2</f>
        <v/>
      </c>
      <c r="E9" s="28">
        <f>$B$35</f>
        <v/>
      </c>
      <c r="F9" s="28">
        <f>B9-((C9*D9)/(D9^2-C9*E9))</f>
        <v/>
      </c>
      <c r="G9" s="28">
        <f>ABS((F9-B9)/F9)*100</f>
        <v/>
      </c>
      <c r="H9" s="28">
        <f>IF(G9&lt;0.00001,"SI","NO")</f>
        <v/>
      </c>
    </row>
    <row r="10" ht="15" customHeight="1">
      <c r="A10" s="27" t="n">
        <v>8</v>
      </c>
      <c r="B10" s="27">
        <f>F9</f>
        <v/>
      </c>
      <c r="C10" s="27">
        <f>-5+B10-2*B10</f>
        <v/>
      </c>
      <c r="D10" s="27">
        <f>-2</f>
        <v/>
      </c>
      <c r="E10" s="27">
        <f>$B$35</f>
        <v/>
      </c>
      <c r="F10" s="27">
        <f>B10-((C10*D10)/(D10^2-C10*E10))</f>
        <v/>
      </c>
      <c r="G10" s="27">
        <f>ABS((F10-B10)/F10)*100</f>
        <v/>
      </c>
      <c r="H10" s="27">
        <f>IF(G10&lt;0.00001,"SI","NO")</f>
        <v/>
      </c>
    </row>
    <row r="11" ht="15" customHeight="1">
      <c r="A11" s="28" t="n">
        <v>9</v>
      </c>
      <c r="B11" s="28">
        <f>F10</f>
        <v/>
      </c>
      <c r="C11" s="28">
        <f>-5+B11-2*B11</f>
        <v/>
      </c>
      <c r="D11" s="28">
        <f>-2</f>
        <v/>
      </c>
      <c r="E11" s="28">
        <f>$B$35</f>
        <v/>
      </c>
      <c r="F11" s="28">
        <f>B11-((C11*D11)/(D11^2-C11*E11))</f>
        <v/>
      </c>
      <c r="G11" s="28">
        <f>ABS((F11-B11)/F11)*100</f>
        <v/>
      </c>
      <c r="H11" s="28">
        <f>IF(G11&lt;0.00001,"SI","NO")</f>
        <v/>
      </c>
    </row>
    <row r="12" ht="15" customHeight="1">
      <c r="A12" s="27" t="n">
        <v>10</v>
      </c>
      <c r="B12" s="27">
        <f>F11</f>
        <v/>
      </c>
      <c r="C12" s="27">
        <f>-5+B12-2*B12</f>
        <v/>
      </c>
      <c r="D12" s="27">
        <f>-2</f>
        <v/>
      </c>
      <c r="E12" s="27">
        <f>$B$35</f>
        <v/>
      </c>
      <c r="F12" s="27">
        <f>B12-((C12*D12)/(D12^2-C12*E12))</f>
        <v/>
      </c>
      <c r="G12" s="27">
        <f>ABS((F12-B12)/F12)*100</f>
        <v/>
      </c>
      <c r="H12" s="27">
        <f>IF(G12&lt;0.00001,"SI","NO")</f>
        <v/>
      </c>
    </row>
    <row r="13" ht="15" customHeight="1">
      <c r="A13" s="28" t="n">
        <v>11</v>
      </c>
      <c r="B13" s="28">
        <f>F12</f>
        <v/>
      </c>
      <c r="C13" s="28">
        <f>-5+B13-2*B13</f>
        <v/>
      </c>
      <c r="D13" s="28">
        <f>-2</f>
        <v/>
      </c>
      <c r="E13" s="28">
        <f>$B$35</f>
        <v/>
      </c>
      <c r="F13" s="28">
        <f>B13-((C13*D13)/(D13^2-C13*E13))</f>
        <v/>
      </c>
      <c r="G13" s="28">
        <f>ABS((F13-B13)/F13)*100</f>
        <v/>
      </c>
      <c r="H13" s="28">
        <f>IF(G13&lt;0.00001,"SI","NO")</f>
        <v/>
      </c>
    </row>
    <row r="14" ht="15" customHeight="1">
      <c r="A14" s="27" t="n">
        <v>12</v>
      </c>
      <c r="B14" s="27">
        <f>F13</f>
        <v/>
      </c>
      <c r="C14" s="27">
        <f>-5+B14-2*B14</f>
        <v/>
      </c>
      <c r="D14" s="27">
        <f>-2</f>
        <v/>
      </c>
      <c r="E14" s="27">
        <f>$B$35</f>
        <v/>
      </c>
      <c r="F14" s="27">
        <f>B14-((C14*D14)/(D14^2-C14*E14))</f>
        <v/>
      </c>
      <c r="G14" s="27">
        <f>ABS((F14-B14)/F14)*100</f>
        <v/>
      </c>
      <c r="H14" s="27">
        <f>IF(G14&lt;0.00001,"SI","NO")</f>
        <v/>
      </c>
    </row>
    <row r="15" ht="15" customHeight="1">
      <c r="A15" s="28" t="n">
        <v>13</v>
      </c>
      <c r="B15" s="28">
        <f>F14</f>
        <v/>
      </c>
      <c r="C15" s="28">
        <f>-5+B15-2*B15</f>
        <v/>
      </c>
      <c r="D15" s="28">
        <f>-2</f>
        <v/>
      </c>
      <c r="E15" s="28">
        <f>$B$35</f>
        <v/>
      </c>
      <c r="F15" s="28">
        <f>B15-((C15*D15)/(D15^2-C15*E15))</f>
        <v/>
      </c>
      <c r="G15" s="28">
        <f>ABS((F15-B15)/F15)*100</f>
        <v/>
      </c>
      <c r="H15" s="28">
        <f>IF(G15&lt;0.00001,"SI","NO")</f>
        <v/>
      </c>
    </row>
    <row r="16" ht="15" customHeight="1">
      <c r="A16" s="27" t="n">
        <v>14</v>
      </c>
      <c r="B16" s="27">
        <f>F15</f>
        <v/>
      </c>
      <c r="C16" s="27">
        <f>-5+B16-2*B16</f>
        <v/>
      </c>
      <c r="D16" s="27">
        <f>-2</f>
        <v/>
      </c>
      <c r="E16" s="27">
        <f>$B$35</f>
        <v/>
      </c>
      <c r="F16" s="27">
        <f>B16-((C16*D16)/(D16^2-C16*E16))</f>
        <v/>
      </c>
      <c r="G16" s="27">
        <f>ABS((F16-B16)/F16)*100</f>
        <v/>
      </c>
      <c r="H16" s="27">
        <f>IF(G16&lt;0.00001,"SI","NO")</f>
        <v/>
      </c>
    </row>
    <row r="17" ht="15" customHeight="1">
      <c r="A17" s="28" t="n">
        <v>15</v>
      </c>
      <c r="B17" s="28">
        <f>F16</f>
        <v/>
      </c>
      <c r="C17" s="28">
        <f>-5+B17-2*B17</f>
        <v/>
      </c>
      <c r="D17" s="28">
        <f>-2</f>
        <v/>
      </c>
      <c r="E17" s="28">
        <f>$B$35</f>
        <v/>
      </c>
      <c r="F17" s="28">
        <f>B17-((C17*D17)/(D17^2-C17*E17))</f>
        <v/>
      </c>
      <c r="G17" s="28">
        <f>ABS((F17-B17)/F17)*100</f>
        <v/>
      </c>
      <c r="H17" s="28">
        <f>IF(G17&lt;0.00001,"SI","NO")</f>
        <v/>
      </c>
    </row>
    <row r="18" ht="15" customHeight="1">
      <c r="A18" s="27" t="n">
        <v>16</v>
      </c>
      <c r="B18" s="27">
        <f>F17</f>
        <v/>
      </c>
      <c r="C18" s="27">
        <f>-5+B18-2*B18</f>
        <v/>
      </c>
      <c r="D18" s="27">
        <f>-2</f>
        <v/>
      </c>
      <c r="E18" s="27">
        <f>$B$35</f>
        <v/>
      </c>
      <c r="F18" s="27">
        <f>B18-((C18*D18)/(D18^2-C18*E18))</f>
        <v/>
      </c>
      <c r="G18" s="27">
        <f>ABS((F18-B18)/F18)*100</f>
        <v/>
      </c>
      <c r="H18" s="27">
        <f>IF(G18&lt;0.00001,"SI","NO")</f>
        <v/>
      </c>
    </row>
    <row r="19" ht="15" customHeight="1">
      <c r="A19" s="28" t="n">
        <v>17</v>
      </c>
      <c r="B19" s="28">
        <f>F18</f>
        <v/>
      </c>
      <c r="C19" s="28">
        <f>-5+B19-2*B19</f>
        <v/>
      </c>
      <c r="D19" s="28">
        <f>-2</f>
        <v/>
      </c>
      <c r="E19" s="28">
        <f>$B$35</f>
        <v/>
      </c>
      <c r="F19" s="28">
        <f>B19-((C19*D19)/(D19^2-C19*E19))</f>
        <v/>
      </c>
      <c r="G19" s="28">
        <f>ABS((F19-B19)/F19)*100</f>
        <v/>
      </c>
      <c r="H19" s="28">
        <f>IF(G19&lt;0.00001,"SI","NO")</f>
        <v/>
      </c>
    </row>
    <row r="20" ht="15" customHeight="1">
      <c r="A20" s="27" t="n">
        <v>18</v>
      </c>
      <c r="B20" s="27">
        <f>F19</f>
        <v/>
      </c>
      <c r="C20" s="27">
        <f>-5+B20-2*B20</f>
        <v/>
      </c>
      <c r="D20" s="27">
        <f>-2</f>
        <v/>
      </c>
      <c r="E20" s="27">
        <f>$B$35</f>
        <v/>
      </c>
      <c r="F20" s="27">
        <f>B20-((C20*D20)/(D20^2-C20*E20))</f>
        <v/>
      </c>
      <c r="G20" s="27">
        <f>ABS((F20-B20)/F20)*100</f>
        <v/>
      </c>
      <c r="H20" s="27">
        <f>IF(G20&lt;0.00001,"SI","NO")</f>
        <v/>
      </c>
    </row>
    <row r="21" ht="15" customHeight="1">
      <c r="A21" s="28" t="n">
        <v>19</v>
      </c>
      <c r="B21" s="28">
        <f>F20</f>
        <v/>
      </c>
      <c r="C21" s="28">
        <f>-5+B21-2*B21</f>
        <v/>
      </c>
      <c r="D21" s="28">
        <f>-2</f>
        <v/>
      </c>
      <c r="E21" s="28">
        <f>$B$35</f>
        <v/>
      </c>
      <c r="F21" s="28">
        <f>B21-((C21*D21)/(D21^2-C21*E21))</f>
        <v/>
      </c>
      <c r="G21" s="28">
        <f>ABS((F21-B21)/F21)*100</f>
        <v/>
      </c>
      <c r="H21" s="28">
        <f>IF(G21&lt;0.00001,"SI","NO")</f>
        <v/>
      </c>
    </row>
    <row r="22" ht="15" customHeight="1">
      <c r="A22" s="27" t="n">
        <v>20</v>
      </c>
      <c r="B22" s="27">
        <f>F21</f>
        <v/>
      </c>
      <c r="C22" s="27">
        <f>-5+B22-2*B22</f>
        <v/>
      </c>
      <c r="D22" s="27">
        <f>-2</f>
        <v/>
      </c>
      <c r="E22" s="27">
        <f>$B$35</f>
        <v/>
      </c>
      <c r="F22" s="27">
        <f>B22-((C22*D22)/(D22^2-C22*E22))</f>
        <v/>
      </c>
      <c r="G22" s="27">
        <f>ABS((F22-B22)/F22)*100</f>
        <v/>
      </c>
      <c r="H22" s="27">
        <f>IF(G22&lt;0.00001,"SI","NO")</f>
        <v/>
      </c>
    </row>
    <row r="23" ht="15" customHeight="1">
      <c r="A23" s="28" t="n">
        <v>21</v>
      </c>
      <c r="B23" s="28">
        <f>F22</f>
        <v/>
      </c>
      <c r="C23" s="28">
        <f>-5+B23-2*B23</f>
        <v/>
      </c>
      <c r="D23" s="28">
        <f>-2</f>
        <v/>
      </c>
      <c r="E23" s="28">
        <f>$B$35</f>
        <v/>
      </c>
      <c r="F23" s="28">
        <f>B23-((C23*D23)/(D23^2-C23*E23))</f>
        <v/>
      </c>
      <c r="G23" s="28">
        <f>ABS((F23-B23)/F23)*100</f>
        <v/>
      </c>
      <c r="H23" s="28">
        <f>IF(G23&lt;0.00001,"SI","NO")</f>
        <v/>
      </c>
    </row>
    <row r="24" ht="15" customHeight="1">
      <c r="A24" s="27" t="n">
        <v>22</v>
      </c>
      <c r="B24" s="27">
        <f>F23</f>
        <v/>
      </c>
      <c r="C24" s="27">
        <f>-5+B24-2*B24</f>
        <v/>
      </c>
      <c r="D24" s="27">
        <f>-2</f>
        <v/>
      </c>
      <c r="E24" s="27">
        <f>$B$35</f>
        <v/>
      </c>
      <c r="F24" s="27">
        <f>B24-((C24*D24)/(D24^2-C24*E24))</f>
        <v/>
      </c>
      <c r="G24" s="27">
        <f>ABS((F24-B24)/F24)*100</f>
        <v/>
      </c>
      <c r="H24" s="27">
        <f>IF(G24&lt;0.00001,"SI","NO")</f>
        <v/>
      </c>
    </row>
    <row r="25" ht="15" customHeight="1">
      <c r="A25" s="28" t="n">
        <v>23</v>
      </c>
      <c r="B25" s="28">
        <f>F24</f>
        <v/>
      </c>
      <c r="C25" s="28">
        <f>-5+B25-2*B25</f>
        <v/>
      </c>
      <c r="D25" s="28">
        <f>-2</f>
        <v/>
      </c>
      <c r="E25" s="28">
        <f>$B$35</f>
        <v/>
      </c>
      <c r="F25" s="28">
        <f>B25-((C25*D25)/(D25^2-C25*E25))</f>
        <v/>
      </c>
      <c r="G25" s="28">
        <f>ABS((F25-B25)/F25)*100</f>
        <v/>
      </c>
      <c r="H25" s="28">
        <f>IF(G25&lt;0.00001,"SI","NO")</f>
        <v/>
      </c>
    </row>
    <row r="26" ht="15" customHeight="1">
      <c r="A26" s="27" t="n">
        <v>24</v>
      </c>
      <c r="B26" s="27">
        <f>F25</f>
        <v/>
      </c>
      <c r="C26" s="27">
        <f>-5+B26-2*B26</f>
        <v/>
      </c>
      <c r="D26" s="27">
        <f>-2</f>
        <v/>
      </c>
      <c r="E26" s="27">
        <f>$B$35</f>
        <v/>
      </c>
      <c r="F26" s="27">
        <f>B26-((C26*D26)/(D26^2-C26*E26))</f>
        <v/>
      </c>
      <c r="G26" s="27">
        <f>ABS((F26-B26)/F26)*100</f>
        <v/>
      </c>
      <c r="H26" s="27">
        <f>IF(G26&lt;0.00001,"SI","NO")</f>
        <v/>
      </c>
    </row>
    <row r="27" ht="17.25" customHeight="1">
      <c r="A27" s="29" t="inlineStr">
        <is>
          <t>MÉTODO DE NEWTON MODIFICADO  —  x3 - 2*x - 5</t>
        </is>
      </c>
    </row>
    <row r="28" ht="15" customHeight="1">
      <c r="A28" s="30" t="inlineStr">
        <is>
          <t>Ecuación:</t>
        </is>
      </c>
      <c r="B28" s="6" t="inlineStr">
        <is>
          <t>x3 - 2*x - 5</t>
        </is>
      </c>
      <c r="E28" s="30" t="inlineStr">
        <is>
          <t>f''(x₀):</t>
        </is>
      </c>
      <c r="F28" s="6" t="inlineStr">
        <is>
          <t>0</t>
        </is>
      </c>
    </row>
    <row r="35">
      <c r="B35" t="n">
        <v>0</v>
      </c>
    </row>
  </sheetData>
  <mergeCells count="1">
    <mergeCell ref="A27:H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7" t="inlineStr">
        <is>
          <t>k</t>
        </is>
      </c>
      <c r="B1" s="7" t="inlineStr">
        <is>
          <t>xₖ</t>
        </is>
      </c>
      <c r="C1" s="7" t="inlineStr">
        <is>
          <t>f(xₖ)</t>
        </is>
      </c>
      <c r="D1" s="7" t="inlineStr">
        <is>
          <t>f'(xₖ)</t>
        </is>
      </c>
      <c r="E1" s="7" t="inlineStr">
        <is>
          <t>f''(xₖ)</t>
        </is>
      </c>
      <c r="F1" s="7" t="inlineStr">
        <is>
          <t>xₖ₊₁</t>
        </is>
      </c>
      <c r="G1" s="7" t="inlineStr">
        <is>
          <t>Error %</t>
        </is>
      </c>
      <c r="H1" s="7" t="inlineStr">
        <is>
          <t>Convergencia</t>
        </is>
      </c>
    </row>
    <row r="2" ht="15" customHeight="1">
      <c r="A2" s="8" t="n">
        <v>0</v>
      </c>
      <c r="B2" s="8" t="n">
        <v>1</v>
      </c>
      <c r="C2" s="8">
        <f>-5+B2-2*B2</f>
        <v/>
      </c>
      <c r="D2" s="8">
        <f>-2</f>
        <v/>
      </c>
      <c r="E2" s="8" t="n">
        <v>0</v>
      </c>
      <c r="F2" s="8">
        <f>B2+((-D2+((D2)^2-2*E2*C2)^(1/2))/E2)</f>
        <v/>
      </c>
      <c r="G2" s="8">
        <f>ABS((F2-B2)/F2)*100</f>
        <v/>
      </c>
      <c r="H2" s="8">
        <f>IF(G2&lt;0.00001,"SI","NO")</f>
        <v/>
      </c>
    </row>
    <row r="3" ht="15" customHeight="1">
      <c r="A3" s="9" t="n">
        <v>1</v>
      </c>
      <c r="B3" s="9">
        <f>F2</f>
        <v/>
      </c>
      <c r="C3" s="9">
        <f>-5+B3-2*B3</f>
        <v/>
      </c>
      <c r="D3" s="9">
        <f>-2</f>
        <v/>
      </c>
      <c r="E3" s="9" t="n">
        <v>0</v>
      </c>
      <c r="F3" s="9">
        <f>B3+((-D3+((D3)^2-2*E3*C3)^(1/2))/E3)</f>
        <v/>
      </c>
      <c r="G3" s="9">
        <f>ABS((F3-B3)/F3)*100</f>
        <v/>
      </c>
      <c r="H3" s="9">
        <f>IF(G3&lt;0.00001,"SI","NO")</f>
        <v/>
      </c>
    </row>
    <row r="4" ht="15" customHeight="1">
      <c r="A4" s="8" t="n">
        <v>2</v>
      </c>
      <c r="B4" s="8">
        <f>F3</f>
        <v/>
      </c>
      <c r="C4" s="8">
        <f>-5+B4-2*B4</f>
        <v/>
      </c>
      <c r="D4" s="8">
        <f>-2</f>
        <v/>
      </c>
      <c r="E4" s="8" t="n">
        <v>0</v>
      </c>
      <c r="F4" s="8">
        <f>B4+((-D4+((D4)^2-2*E4*C4)^(1/2))/E4)</f>
        <v/>
      </c>
      <c r="G4" s="8">
        <f>ABS((F4-B4)/F4)*100</f>
        <v/>
      </c>
      <c r="H4" s="8">
        <f>IF(G4&lt;0.00001,"SI","NO")</f>
        <v/>
      </c>
    </row>
    <row r="5" ht="15" customHeight="1">
      <c r="A5" s="9" t="n">
        <v>3</v>
      </c>
      <c r="B5" s="9">
        <f>F4</f>
        <v/>
      </c>
      <c r="C5" s="9">
        <f>-5+B5-2*B5</f>
        <v/>
      </c>
      <c r="D5" s="9">
        <f>-2</f>
        <v/>
      </c>
      <c r="E5" s="9" t="n">
        <v>0</v>
      </c>
      <c r="F5" s="9">
        <f>B5+((-D5+((D5)^2-2*E5*C5)^(1/2))/E5)</f>
        <v/>
      </c>
      <c r="G5" s="9">
        <f>ABS((F5-B5)/F5)*100</f>
        <v/>
      </c>
      <c r="H5" s="9">
        <f>IF(G5&lt;0.00001,"SI","NO")</f>
        <v/>
      </c>
    </row>
    <row r="6" ht="15" customHeight="1">
      <c r="A6" s="8" t="n">
        <v>4</v>
      </c>
      <c r="B6" s="8">
        <f>F5</f>
        <v/>
      </c>
      <c r="C6" s="8">
        <f>-5+B6-2*B6</f>
        <v/>
      </c>
      <c r="D6" s="8">
        <f>-2</f>
        <v/>
      </c>
      <c r="E6" s="8" t="n">
        <v>0</v>
      </c>
      <c r="F6" s="8">
        <f>B6+((-D6+((D6)^2-2*E6*C6)^(1/2))/E6)</f>
        <v/>
      </c>
      <c r="G6" s="8">
        <f>ABS((F6-B6)/F6)*100</f>
        <v/>
      </c>
      <c r="H6" s="8">
        <f>IF(G6&lt;0.00001,"SI","NO")</f>
        <v/>
      </c>
    </row>
    <row r="7" ht="15" customHeight="1">
      <c r="A7" s="9" t="n">
        <v>5</v>
      </c>
      <c r="B7" s="9">
        <f>F6</f>
        <v/>
      </c>
      <c r="C7" s="9">
        <f>-5+B7-2*B7</f>
        <v/>
      </c>
      <c r="D7" s="9">
        <f>-2</f>
        <v/>
      </c>
      <c r="E7" s="9" t="n">
        <v>0</v>
      </c>
      <c r="F7" s="9">
        <f>B7+((-D7+((D7)^2-2*E7*C7)^(1/2))/E7)</f>
        <v/>
      </c>
      <c r="G7" s="9">
        <f>ABS((F7-B7)/F7)*100</f>
        <v/>
      </c>
      <c r="H7" s="9">
        <f>IF(G7&lt;0.00001,"SI","NO")</f>
        <v/>
      </c>
    </row>
    <row r="8" ht="15" customHeight="1">
      <c r="A8" s="8" t="n">
        <v>6</v>
      </c>
      <c r="B8" s="8">
        <f>F7</f>
        <v/>
      </c>
      <c r="C8" s="8">
        <f>-5+B8-2*B8</f>
        <v/>
      </c>
      <c r="D8" s="8">
        <f>-2</f>
        <v/>
      </c>
      <c r="E8" s="8" t="n">
        <v>0</v>
      </c>
      <c r="F8" s="8">
        <f>B8+((-D8+((D8)^2-2*E8*C8)^(1/2))/E8)</f>
        <v/>
      </c>
      <c r="G8" s="8">
        <f>ABS((F8-B8)/F8)*100</f>
        <v/>
      </c>
      <c r="H8" s="8">
        <f>IF(G8&lt;0.00001,"SI","NO")</f>
        <v/>
      </c>
    </row>
    <row r="9" ht="15" customHeight="1">
      <c r="A9" s="9" t="n">
        <v>7</v>
      </c>
      <c r="B9" s="9">
        <f>F8</f>
        <v/>
      </c>
      <c r="C9" s="9">
        <f>-5+B9-2*B9</f>
        <v/>
      </c>
      <c r="D9" s="9">
        <f>-2</f>
        <v/>
      </c>
      <c r="E9" s="9" t="n">
        <v>0</v>
      </c>
      <c r="F9" s="9">
        <f>B9+((-D9+((D9)^2-2*E9*C9)^(1/2))/E9)</f>
        <v/>
      </c>
      <c r="G9" s="9">
        <f>ABS((F9-B9)/F9)*100</f>
        <v/>
      </c>
      <c r="H9" s="9">
        <f>IF(G9&lt;0.00001,"SI","NO")</f>
        <v/>
      </c>
    </row>
    <row r="10" ht="15" customHeight="1">
      <c r="A10" s="8" t="n">
        <v>8</v>
      </c>
      <c r="B10" s="8">
        <f>F9</f>
        <v/>
      </c>
      <c r="C10" s="8">
        <f>-5+B10-2*B10</f>
        <v/>
      </c>
      <c r="D10" s="8">
        <f>-2</f>
        <v/>
      </c>
      <c r="E10" s="8" t="n">
        <v>0</v>
      </c>
      <c r="F10" s="8">
        <f>B10+((-D10+((D10)^2-2*E10*C10)^(1/2))/E10)</f>
        <v/>
      </c>
      <c r="G10" s="8">
        <f>ABS((F10-B10)/F10)*100</f>
        <v/>
      </c>
      <c r="H10" s="8">
        <f>IF(G10&lt;0.00001,"SI","NO")</f>
        <v/>
      </c>
    </row>
    <row r="11" ht="15" customHeight="1">
      <c r="A11" s="9" t="n">
        <v>9</v>
      </c>
      <c r="B11" s="9">
        <f>F10</f>
        <v/>
      </c>
      <c r="C11" s="9">
        <f>-5+B11-2*B11</f>
        <v/>
      </c>
      <c r="D11" s="9">
        <f>-2</f>
        <v/>
      </c>
      <c r="E11" s="9" t="n">
        <v>0</v>
      </c>
      <c r="F11" s="9">
        <f>B11+((-D11+((D11)^2-2*E11*C11)^(1/2))/E11)</f>
        <v/>
      </c>
      <c r="G11" s="9">
        <f>ABS((F11-B11)/F11)*100</f>
        <v/>
      </c>
      <c r="H11" s="9">
        <f>IF(G11&lt;0.00001,"SI","NO")</f>
        <v/>
      </c>
    </row>
    <row r="12" ht="15" customHeight="1">
      <c r="A12" s="8" t="n">
        <v>10</v>
      </c>
      <c r="B12" s="8">
        <f>F11</f>
        <v/>
      </c>
      <c r="C12" s="8">
        <f>-5+B12-2*B12</f>
        <v/>
      </c>
      <c r="D12" s="8">
        <f>-2</f>
        <v/>
      </c>
      <c r="E12" s="8" t="n">
        <v>0</v>
      </c>
      <c r="F12" s="8">
        <f>B12+((-D12+((D12)^2-2*E12*C12)^(1/2))/E12)</f>
        <v/>
      </c>
      <c r="G12" s="8">
        <f>ABS((F12-B12)/F12)*100</f>
        <v/>
      </c>
      <c r="H12" s="8">
        <f>IF(G12&lt;0.00001,"SI","NO")</f>
        <v/>
      </c>
    </row>
    <row r="13" ht="15" customHeight="1">
      <c r="A13" s="9" t="n">
        <v>11</v>
      </c>
      <c r="B13" s="9">
        <f>F12</f>
        <v/>
      </c>
      <c r="C13" s="9">
        <f>-5+B13-2*B13</f>
        <v/>
      </c>
      <c r="D13" s="9">
        <f>-2</f>
        <v/>
      </c>
      <c r="E13" s="9" t="n">
        <v>0</v>
      </c>
      <c r="F13" s="9">
        <f>B13+((-D13+((D13)^2-2*E13*C13)^(1/2))/E13)</f>
        <v/>
      </c>
      <c r="G13" s="9">
        <f>ABS((F13-B13)/F13)*100</f>
        <v/>
      </c>
      <c r="H13" s="9">
        <f>IF(G13&lt;0.00001,"SI","NO")</f>
        <v/>
      </c>
    </row>
    <row r="14" ht="15" customHeight="1">
      <c r="A14" s="8" t="n">
        <v>12</v>
      </c>
      <c r="B14" s="8">
        <f>F13</f>
        <v/>
      </c>
      <c r="C14" s="8">
        <f>-5+B14-2*B14</f>
        <v/>
      </c>
      <c r="D14" s="8">
        <f>-2</f>
        <v/>
      </c>
      <c r="E14" s="8" t="n">
        <v>0</v>
      </c>
      <c r="F14" s="8">
        <f>B14+((-D14+((D14)^2-2*E14*C14)^(1/2))/E14)</f>
        <v/>
      </c>
      <c r="G14" s="8">
        <f>ABS((F14-B14)/F14)*100</f>
        <v/>
      </c>
      <c r="H14" s="8">
        <f>IF(G14&lt;0.00001,"SI","NO")</f>
        <v/>
      </c>
    </row>
    <row r="15" ht="15" customHeight="1">
      <c r="A15" s="9" t="n">
        <v>13</v>
      </c>
      <c r="B15" s="9">
        <f>F14</f>
        <v/>
      </c>
      <c r="C15" s="9">
        <f>-5+B15-2*B15</f>
        <v/>
      </c>
      <c r="D15" s="9">
        <f>-2</f>
        <v/>
      </c>
      <c r="E15" s="9" t="n">
        <v>0</v>
      </c>
      <c r="F15" s="9">
        <f>B15+((-D15+((D15)^2-2*E15*C15)^(1/2))/E15)</f>
        <v/>
      </c>
      <c r="G15" s="9">
        <f>ABS((F15-B15)/F15)*100</f>
        <v/>
      </c>
      <c r="H15" s="9">
        <f>IF(G15&lt;0.00001,"SI","NO")</f>
        <v/>
      </c>
    </row>
    <row r="16" ht="15" customHeight="1">
      <c r="A16" s="8" t="n">
        <v>14</v>
      </c>
      <c r="B16" s="8">
        <f>F15</f>
        <v/>
      </c>
      <c r="C16" s="8">
        <f>-5+B16-2*B16</f>
        <v/>
      </c>
      <c r="D16" s="8">
        <f>-2</f>
        <v/>
      </c>
      <c r="E16" s="8" t="n">
        <v>0</v>
      </c>
      <c r="F16" s="8">
        <f>B16+((-D16+((D16)^2-2*E16*C16)^(1/2))/E16)</f>
        <v/>
      </c>
      <c r="G16" s="8">
        <f>ABS((F16-B16)/F16)*100</f>
        <v/>
      </c>
      <c r="H16" s="8">
        <f>IF(G16&lt;0.00001,"SI","NO")</f>
        <v/>
      </c>
    </row>
    <row r="17" ht="15" customHeight="1">
      <c r="A17" s="9" t="n">
        <v>15</v>
      </c>
      <c r="B17" s="9">
        <f>F16</f>
        <v/>
      </c>
      <c r="C17" s="9">
        <f>-5+B17-2*B17</f>
        <v/>
      </c>
      <c r="D17" s="9">
        <f>-2</f>
        <v/>
      </c>
      <c r="E17" s="9" t="n">
        <v>0</v>
      </c>
      <c r="F17" s="9">
        <f>B17+((-D17+((D17)^2-2*E17*C17)^(1/2))/E17)</f>
        <v/>
      </c>
      <c r="G17" s="9">
        <f>ABS((F17-B17)/F17)*100</f>
        <v/>
      </c>
      <c r="H17" s="9">
        <f>IF(G17&lt;0.00001,"SI","NO")</f>
        <v/>
      </c>
    </row>
    <row r="18" ht="15" customHeight="1">
      <c r="A18" s="8" t="n">
        <v>16</v>
      </c>
      <c r="B18" s="8">
        <f>F17</f>
        <v/>
      </c>
      <c r="C18" s="8">
        <f>-5+B18-2*B18</f>
        <v/>
      </c>
      <c r="D18" s="8">
        <f>-2</f>
        <v/>
      </c>
      <c r="E18" s="8" t="n">
        <v>0</v>
      </c>
      <c r="F18" s="8">
        <f>B18+((-D18+((D18)^2-2*E18*C18)^(1/2))/E18)</f>
        <v/>
      </c>
      <c r="G18" s="8">
        <f>ABS((F18-B18)/F18)*100</f>
        <v/>
      </c>
      <c r="H18" s="8">
        <f>IF(G18&lt;0.00001,"SI","NO")</f>
        <v/>
      </c>
    </row>
    <row r="19" ht="15" customHeight="1">
      <c r="A19" s="9" t="n">
        <v>17</v>
      </c>
      <c r="B19" s="9">
        <f>F18</f>
        <v/>
      </c>
      <c r="C19" s="9">
        <f>-5+B19-2*B19</f>
        <v/>
      </c>
      <c r="D19" s="9">
        <f>-2</f>
        <v/>
      </c>
      <c r="E19" s="9" t="n">
        <v>0</v>
      </c>
      <c r="F19" s="9">
        <f>B19+((-D19+((D19)^2-2*E19*C19)^(1/2))/E19)</f>
        <v/>
      </c>
      <c r="G19" s="9">
        <f>ABS((F19-B19)/F19)*100</f>
        <v/>
      </c>
      <c r="H19" s="9">
        <f>IF(G19&lt;0.00001,"SI","NO")</f>
        <v/>
      </c>
    </row>
    <row r="20" ht="15" customHeight="1">
      <c r="A20" s="8" t="n">
        <v>18</v>
      </c>
      <c r="B20" s="8">
        <f>F19</f>
        <v/>
      </c>
      <c r="C20" s="8">
        <f>-5+B20-2*B20</f>
        <v/>
      </c>
      <c r="D20" s="8">
        <f>-2</f>
        <v/>
      </c>
      <c r="E20" s="8" t="n">
        <v>0</v>
      </c>
      <c r="F20" s="8">
        <f>B20+((-D20+((D20)^2-2*E20*C20)^(1/2))/E20)</f>
        <v/>
      </c>
      <c r="G20" s="8">
        <f>ABS((F20-B20)/F20)*100</f>
        <v/>
      </c>
      <c r="H20" s="8">
        <f>IF(G20&lt;0.00001,"SI","NO")</f>
        <v/>
      </c>
    </row>
    <row r="21" ht="15" customHeight="1">
      <c r="A21" s="9" t="n">
        <v>19</v>
      </c>
      <c r="B21" s="9">
        <f>F20</f>
        <v/>
      </c>
      <c r="C21" s="9">
        <f>-5+B21-2*B21</f>
        <v/>
      </c>
      <c r="D21" s="9">
        <f>-2</f>
        <v/>
      </c>
      <c r="E21" s="9" t="n">
        <v>0</v>
      </c>
      <c r="F21" s="9">
        <f>B21+((-D21+((D21)^2-2*E21*C21)^(1/2))/E21)</f>
        <v/>
      </c>
      <c r="G21" s="9">
        <f>ABS((F21-B21)/F21)*100</f>
        <v/>
      </c>
      <c r="H21" s="9">
        <f>IF(G21&lt;0.00001,"SI","NO")</f>
        <v/>
      </c>
    </row>
    <row r="22" ht="15" customHeight="1">
      <c r="A22" s="8" t="n">
        <v>20</v>
      </c>
      <c r="B22" s="8">
        <f>F21</f>
        <v/>
      </c>
      <c r="C22" s="8">
        <f>-5+B22-2*B22</f>
        <v/>
      </c>
      <c r="D22" s="8">
        <f>-2</f>
        <v/>
      </c>
      <c r="E22" s="8" t="n">
        <v>0</v>
      </c>
      <c r="F22" s="8">
        <f>B22+((-D22+((D22)^2-2*E22*C22)^(1/2))/E22)</f>
        <v/>
      </c>
      <c r="G22" s="8">
        <f>ABS((F22-B22)/F22)*100</f>
        <v/>
      </c>
      <c r="H22" s="8">
        <f>IF(G22&lt;0.00001,"SI","NO")</f>
        <v/>
      </c>
    </row>
    <row r="23" ht="15" customHeight="1">
      <c r="A23" s="9" t="n">
        <v>21</v>
      </c>
      <c r="B23" s="9">
        <f>F22</f>
        <v/>
      </c>
      <c r="C23" s="9">
        <f>-5+B23-2*B23</f>
        <v/>
      </c>
      <c r="D23" s="9">
        <f>-2</f>
        <v/>
      </c>
      <c r="E23" s="9" t="n">
        <v>0</v>
      </c>
      <c r="F23" s="9">
        <f>B23+((-D23+((D23)^2-2*E23*C23)^(1/2))/E23)</f>
        <v/>
      </c>
      <c r="G23" s="9">
        <f>ABS((F23-B23)/F23)*100</f>
        <v/>
      </c>
      <c r="H23" s="9">
        <f>IF(G23&lt;0.00001,"SI","NO")</f>
        <v/>
      </c>
    </row>
    <row r="24" ht="15" customHeight="1">
      <c r="A24" s="8" t="n">
        <v>22</v>
      </c>
      <c r="B24" s="8">
        <f>F23</f>
        <v/>
      </c>
      <c r="C24" s="8">
        <f>-5+B24-2*B24</f>
        <v/>
      </c>
      <c r="D24" s="8">
        <f>-2</f>
        <v/>
      </c>
      <c r="E24" s="8" t="n">
        <v>0</v>
      </c>
      <c r="F24" s="8">
        <f>B24+((-D24+((D24)^2-2*E24*C24)^(1/2))/E24)</f>
        <v/>
      </c>
      <c r="G24" s="8">
        <f>ABS((F24-B24)/F24)*100</f>
        <v/>
      </c>
      <c r="H24" s="8">
        <f>IF(G24&lt;0.00001,"SI","NO")</f>
        <v/>
      </c>
    </row>
    <row r="25" ht="15" customHeight="1">
      <c r="A25" s="9" t="n">
        <v>23</v>
      </c>
      <c r="B25" s="9">
        <f>F24</f>
        <v/>
      </c>
      <c r="C25" s="9">
        <f>-5+B25-2*B25</f>
        <v/>
      </c>
      <c r="D25" s="9">
        <f>-2</f>
        <v/>
      </c>
      <c r="E25" s="9" t="n">
        <v>0</v>
      </c>
      <c r="F25" s="9">
        <f>B25+((-D25+((D25)^2-2*E25*C25)^(1/2))/E25)</f>
        <v/>
      </c>
      <c r="G25" s="9">
        <f>ABS((F25-B25)/F25)*100</f>
        <v/>
      </c>
      <c r="H25" s="9">
        <f>IF(G25&lt;0.00001,"SI","NO")</f>
        <v/>
      </c>
    </row>
    <row r="26" ht="15" customHeight="1">
      <c r="A26" s="8" t="n">
        <v>24</v>
      </c>
      <c r="B26" s="8">
        <f>F25</f>
        <v/>
      </c>
      <c r="C26" s="8">
        <f>-5+B26-2*B26</f>
        <v/>
      </c>
      <c r="D26" s="8">
        <f>-2</f>
        <v/>
      </c>
      <c r="E26" s="8" t="n">
        <v>0</v>
      </c>
      <c r="F26" s="8">
        <f>B26+((-D26+((D26)^2-2*E26*C26)^(1/2))/E26)</f>
        <v/>
      </c>
      <c r="G26" s="8">
        <f>ABS((F26-B26)/F26)*100</f>
        <v/>
      </c>
      <c r="H26" s="8">
        <f>IF(G26&lt;0.00001,"SI","NO")</f>
        <v/>
      </c>
    </row>
    <row r="27" ht="17.25" customHeight="1">
      <c r="A27" s="31" t="inlineStr">
        <is>
          <t>MÉTODO DE NEWTON 2DO ORDEN  —  x3 - 2*x - 5</t>
        </is>
      </c>
    </row>
    <row r="28" ht="15" customHeight="1">
      <c r="A28" s="32" t="inlineStr">
        <is>
          <t>Ecuación:</t>
        </is>
      </c>
      <c r="B28" s="6" t="inlineStr">
        <is>
          <t>x3 - 2*x - 5</t>
        </is>
      </c>
    </row>
  </sheetData>
  <mergeCells count="1">
    <mergeCell ref="A27:H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33" t="inlineStr">
        <is>
          <t>k</t>
        </is>
      </c>
      <c r="B1" s="33" t="inlineStr">
        <is>
          <t>xₖ</t>
        </is>
      </c>
      <c r="C1" s="33" t="inlineStr">
        <is>
          <t>f(xₖ)</t>
        </is>
      </c>
      <c r="D1" s="33" t="inlineStr">
        <is>
          <t>f'(xₖ)</t>
        </is>
      </c>
      <c r="E1" s="33" t="inlineStr">
        <is>
          <t>f''(xₖ)</t>
        </is>
      </c>
      <c r="F1" s="33" t="inlineStr">
        <is>
          <t>xₖ₊₁</t>
        </is>
      </c>
      <c r="G1" s="33" t="inlineStr">
        <is>
          <t>Error %</t>
        </is>
      </c>
      <c r="H1" s="33" t="inlineStr">
        <is>
          <t>Convergencia</t>
        </is>
      </c>
    </row>
    <row r="2" ht="15" customHeight="1">
      <c r="A2" s="34" t="n">
        <v>0</v>
      </c>
      <c r="B2" s="34" t="n">
        <v>1</v>
      </c>
      <c r="C2" s="34">
        <f>-5+B2-2*B2</f>
        <v/>
      </c>
      <c r="D2" s="34">
        <f>-2</f>
        <v/>
      </c>
      <c r="E2" s="34">
        <f>$B$35</f>
        <v/>
      </c>
      <c r="F2" s="34">
        <f>B2-(C2/D2)-(((C2^2)*(E2))/(2*(D2)^3))</f>
        <v/>
      </c>
      <c r="G2" s="34">
        <f>ABS((F2-B2)/F2)*100</f>
        <v/>
      </c>
      <c r="H2" s="34">
        <f>IF(G2&lt;0.00001,"SI","NO")</f>
        <v/>
      </c>
    </row>
    <row r="3" ht="15" customHeight="1">
      <c r="A3" s="34" t="n">
        <v>1</v>
      </c>
      <c r="B3" s="34">
        <f>F2</f>
        <v/>
      </c>
      <c r="C3" s="34">
        <f>-5+B3-2*B3</f>
        <v/>
      </c>
      <c r="D3" s="34">
        <f>-2</f>
        <v/>
      </c>
      <c r="E3" s="34">
        <f>$B$35</f>
        <v/>
      </c>
      <c r="F3" s="34">
        <f>B3-(C3/D3)-(((C3^2)*(E3))/(2*(D3)^3))</f>
        <v/>
      </c>
      <c r="G3" s="34">
        <f>ABS((F3-B3)/F3)*100</f>
        <v/>
      </c>
      <c r="H3" s="34">
        <f>IF(G3&lt;0.00001,"SI","NO")</f>
        <v/>
      </c>
    </row>
    <row r="4" ht="15" customHeight="1">
      <c r="A4" s="34" t="n">
        <v>2</v>
      </c>
      <c r="B4" s="34">
        <f>F3</f>
        <v/>
      </c>
      <c r="C4" s="34">
        <f>-5+B4-2*B4</f>
        <v/>
      </c>
      <c r="D4" s="34">
        <f>-2</f>
        <v/>
      </c>
      <c r="E4" s="34">
        <f>$B$35</f>
        <v/>
      </c>
      <c r="F4" s="34">
        <f>B4-(C4/D4)-(((C4^2)*(E4))/(2*(D4)^3))</f>
        <v/>
      </c>
      <c r="G4" s="34">
        <f>ABS((F4-B4)/F4)*100</f>
        <v/>
      </c>
      <c r="H4" s="34">
        <f>IF(G4&lt;0.00001,"SI","NO")</f>
        <v/>
      </c>
    </row>
    <row r="5" ht="15" customHeight="1">
      <c r="A5" s="34" t="n">
        <v>3</v>
      </c>
      <c r="B5" s="34">
        <f>F4</f>
        <v/>
      </c>
      <c r="C5" s="34">
        <f>-5+B5-2*B5</f>
        <v/>
      </c>
      <c r="D5" s="34">
        <f>-2</f>
        <v/>
      </c>
      <c r="E5" s="34">
        <f>$B$35</f>
        <v/>
      </c>
      <c r="F5" s="34">
        <f>B5-(C5/D5)-(((C5^2)*(E5))/(2*(D5)^3))</f>
        <v/>
      </c>
      <c r="G5" s="34">
        <f>ABS((F5-B5)/F5)*100</f>
        <v/>
      </c>
      <c r="H5" s="34">
        <f>IF(G5&lt;0.00001,"SI","NO")</f>
        <v/>
      </c>
    </row>
    <row r="6" ht="15" customHeight="1">
      <c r="A6" s="34" t="n">
        <v>4</v>
      </c>
      <c r="B6" s="34">
        <f>F5</f>
        <v/>
      </c>
      <c r="C6" s="34">
        <f>-5+B6-2*B6</f>
        <v/>
      </c>
      <c r="D6" s="34">
        <f>-2</f>
        <v/>
      </c>
      <c r="E6" s="34">
        <f>$B$35</f>
        <v/>
      </c>
      <c r="F6" s="34">
        <f>B6-(C6/D6)-(((C6^2)*(E6))/(2*(D6)^3))</f>
        <v/>
      </c>
      <c r="G6" s="34">
        <f>ABS((F6-B6)/F6)*100</f>
        <v/>
      </c>
      <c r="H6" s="34">
        <f>IF(G6&lt;0.00001,"SI","NO")</f>
        <v/>
      </c>
    </row>
    <row r="7" ht="15" customHeight="1">
      <c r="A7" s="34" t="n">
        <v>5</v>
      </c>
      <c r="B7" s="34">
        <f>F6</f>
        <v/>
      </c>
      <c r="C7" s="34">
        <f>-5+B7-2*B7</f>
        <v/>
      </c>
      <c r="D7" s="34">
        <f>-2</f>
        <v/>
      </c>
      <c r="E7" s="34">
        <f>$B$35</f>
        <v/>
      </c>
      <c r="F7" s="34">
        <f>B7-(C7/D7)-(((C7^2)*(E7))/(2*(D7)^3))</f>
        <v/>
      </c>
      <c r="G7" s="34">
        <f>ABS((F7-B7)/F7)*100</f>
        <v/>
      </c>
      <c r="H7" s="34">
        <f>IF(G7&lt;0.00001,"SI","NO")</f>
        <v/>
      </c>
    </row>
    <row r="8" ht="15" customHeight="1">
      <c r="A8" s="34" t="n">
        <v>6</v>
      </c>
      <c r="B8" s="34">
        <f>F7</f>
        <v/>
      </c>
      <c r="C8" s="34">
        <f>-5+B8-2*B8</f>
        <v/>
      </c>
      <c r="D8" s="34">
        <f>-2</f>
        <v/>
      </c>
      <c r="E8" s="34">
        <f>$B$35</f>
        <v/>
      </c>
      <c r="F8" s="34">
        <f>B8-(C8/D8)-(((C8^2)*(E8))/(2*(D8)^3))</f>
        <v/>
      </c>
      <c r="G8" s="34">
        <f>ABS((F8-B8)/F8)*100</f>
        <v/>
      </c>
      <c r="H8" s="34">
        <f>IF(G8&lt;0.00001,"SI","NO")</f>
        <v/>
      </c>
    </row>
    <row r="9" ht="15" customHeight="1">
      <c r="A9" s="34" t="n">
        <v>7</v>
      </c>
      <c r="B9" s="34">
        <f>F8</f>
        <v/>
      </c>
      <c r="C9" s="34">
        <f>-5+B9-2*B9</f>
        <v/>
      </c>
      <c r="D9" s="34">
        <f>-2</f>
        <v/>
      </c>
      <c r="E9" s="34">
        <f>$B$35</f>
        <v/>
      </c>
      <c r="F9" s="34">
        <f>B9-(C9/D9)-(((C9^2)*(E9))/(2*(D9)^3))</f>
        <v/>
      </c>
      <c r="G9" s="34">
        <f>ABS((F9-B9)/F9)*100</f>
        <v/>
      </c>
      <c r="H9" s="34">
        <f>IF(G9&lt;0.00001,"SI","NO")</f>
        <v/>
      </c>
    </row>
    <row r="10" ht="15" customHeight="1">
      <c r="A10" s="34" t="n">
        <v>8</v>
      </c>
      <c r="B10" s="34">
        <f>F9</f>
        <v/>
      </c>
      <c r="C10" s="34">
        <f>-5+B10-2*B10</f>
        <v/>
      </c>
      <c r="D10" s="34">
        <f>-2</f>
        <v/>
      </c>
      <c r="E10" s="34">
        <f>$B$35</f>
        <v/>
      </c>
      <c r="F10" s="34">
        <f>B10-(C10/D10)-(((C10^2)*(E10))/(2*(D10)^3))</f>
        <v/>
      </c>
      <c r="G10" s="34">
        <f>ABS((F10-B10)/F10)*100</f>
        <v/>
      </c>
      <c r="H10" s="34">
        <f>IF(G10&lt;0.00001,"SI","NO")</f>
        <v/>
      </c>
    </row>
    <row r="11" ht="15" customHeight="1">
      <c r="A11" s="34" t="n">
        <v>9</v>
      </c>
      <c r="B11" s="34">
        <f>F10</f>
        <v/>
      </c>
      <c r="C11" s="34">
        <f>-5+B11-2*B11</f>
        <v/>
      </c>
      <c r="D11" s="34">
        <f>-2</f>
        <v/>
      </c>
      <c r="E11" s="34">
        <f>$B$35</f>
        <v/>
      </c>
      <c r="F11" s="34">
        <f>B11-(C11/D11)-(((C11^2)*(E11))/(2*(D11)^3))</f>
        <v/>
      </c>
      <c r="G11" s="34">
        <f>ABS((F11-B11)/F11)*100</f>
        <v/>
      </c>
      <c r="H11" s="34">
        <f>IF(G11&lt;0.00001,"SI","NO")</f>
        <v/>
      </c>
    </row>
    <row r="12" ht="15" customHeight="1">
      <c r="A12" s="34" t="n">
        <v>10</v>
      </c>
      <c r="B12" s="34">
        <f>F11</f>
        <v/>
      </c>
      <c r="C12" s="34">
        <f>-5+B12-2*B12</f>
        <v/>
      </c>
      <c r="D12" s="34">
        <f>-2</f>
        <v/>
      </c>
      <c r="E12" s="34">
        <f>$B$35</f>
        <v/>
      </c>
      <c r="F12" s="34">
        <f>B12-(C12/D12)-(((C12^2)*(E12))/(2*(D12)^3))</f>
        <v/>
      </c>
      <c r="G12" s="34">
        <f>ABS((F12-B12)/F12)*100</f>
        <v/>
      </c>
      <c r="H12" s="34">
        <f>IF(G12&lt;0.00001,"SI","NO")</f>
        <v/>
      </c>
    </row>
    <row r="13" ht="15" customHeight="1">
      <c r="A13" s="34" t="n">
        <v>11</v>
      </c>
      <c r="B13" s="34">
        <f>F12</f>
        <v/>
      </c>
      <c r="C13" s="34">
        <f>-5+B13-2*B13</f>
        <v/>
      </c>
      <c r="D13" s="34">
        <f>-2</f>
        <v/>
      </c>
      <c r="E13" s="34">
        <f>$B$35</f>
        <v/>
      </c>
      <c r="F13" s="34">
        <f>B13-(C13/D13)-(((C13^2)*(E13))/(2*(D13)^3))</f>
        <v/>
      </c>
      <c r="G13" s="34">
        <f>ABS((F13-B13)/F13)*100</f>
        <v/>
      </c>
      <c r="H13" s="34">
        <f>IF(G13&lt;0.00001,"SI","NO")</f>
        <v/>
      </c>
    </row>
    <row r="14" ht="15" customHeight="1">
      <c r="A14" s="34" t="n">
        <v>12</v>
      </c>
      <c r="B14" s="34">
        <f>F13</f>
        <v/>
      </c>
      <c r="C14" s="34">
        <f>-5+B14-2*B14</f>
        <v/>
      </c>
      <c r="D14" s="34">
        <f>-2</f>
        <v/>
      </c>
      <c r="E14" s="34">
        <f>$B$35</f>
        <v/>
      </c>
      <c r="F14" s="34">
        <f>B14-(C14/D14)-(((C14^2)*(E14))/(2*(D14)^3))</f>
        <v/>
      </c>
      <c r="G14" s="34">
        <f>ABS((F14-B14)/F14)*100</f>
        <v/>
      </c>
      <c r="H14" s="34">
        <f>IF(G14&lt;0.00001,"SI","NO")</f>
        <v/>
      </c>
    </row>
    <row r="15" ht="15" customHeight="1">
      <c r="A15" s="34" t="n">
        <v>13</v>
      </c>
      <c r="B15" s="34">
        <f>F14</f>
        <v/>
      </c>
      <c r="C15" s="34">
        <f>-5+B15-2*B15</f>
        <v/>
      </c>
      <c r="D15" s="34">
        <f>-2</f>
        <v/>
      </c>
      <c r="E15" s="34">
        <f>$B$35</f>
        <v/>
      </c>
      <c r="F15" s="34">
        <f>B15-(C15/D15)-(((C15^2)*(E15))/(2*(D15)^3))</f>
        <v/>
      </c>
      <c r="G15" s="34">
        <f>ABS((F15-B15)/F15)*100</f>
        <v/>
      </c>
      <c r="H15" s="34">
        <f>IF(G15&lt;0.00001,"SI","NO")</f>
        <v/>
      </c>
    </row>
    <row r="16" ht="15" customHeight="1">
      <c r="A16" s="34" t="n">
        <v>14</v>
      </c>
      <c r="B16" s="34">
        <f>F15</f>
        <v/>
      </c>
      <c r="C16" s="34">
        <f>-5+B16-2*B16</f>
        <v/>
      </c>
      <c r="D16" s="34">
        <f>-2</f>
        <v/>
      </c>
      <c r="E16" s="34">
        <f>$B$35</f>
        <v/>
      </c>
      <c r="F16" s="34">
        <f>B16-(C16/D16)-(((C16^2)*(E16))/(2*(D16)^3))</f>
        <v/>
      </c>
      <c r="G16" s="34">
        <f>ABS((F16-B16)/F16)*100</f>
        <v/>
      </c>
      <c r="H16" s="34">
        <f>IF(G16&lt;0.00001,"SI","NO")</f>
        <v/>
      </c>
    </row>
    <row r="17" ht="15" customHeight="1">
      <c r="A17" s="34" t="n">
        <v>15</v>
      </c>
      <c r="B17" s="34">
        <f>F16</f>
        <v/>
      </c>
      <c r="C17" s="34">
        <f>-5+B17-2*B17</f>
        <v/>
      </c>
      <c r="D17" s="34">
        <f>-2</f>
        <v/>
      </c>
      <c r="E17" s="34">
        <f>$B$35</f>
        <v/>
      </c>
      <c r="F17" s="34">
        <f>B17-(C17/D17)-(((C17^2)*(E17))/(2*(D17)^3))</f>
        <v/>
      </c>
      <c r="G17" s="34">
        <f>ABS((F17-B17)/F17)*100</f>
        <v/>
      </c>
      <c r="H17" s="34">
        <f>IF(G17&lt;0.00001,"SI","NO")</f>
        <v/>
      </c>
    </row>
    <row r="18" ht="15" customHeight="1">
      <c r="A18" s="34" t="n">
        <v>16</v>
      </c>
      <c r="B18" s="34">
        <f>F17</f>
        <v/>
      </c>
      <c r="C18" s="34">
        <f>-5+B18-2*B18</f>
        <v/>
      </c>
      <c r="D18" s="34">
        <f>-2</f>
        <v/>
      </c>
      <c r="E18" s="34">
        <f>$B$35</f>
        <v/>
      </c>
      <c r="F18" s="34">
        <f>B18-(C18/D18)-(((C18^2)*(E18))/(2*(D18)^3))</f>
        <v/>
      </c>
      <c r="G18" s="34">
        <f>ABS((F18-B18)/F18)*100</f>
        <v/>
      </c>
      <c r="H18" s="34">
        <f>IF(G18&lt;0.00001,"SI","NO")</f>
        <v/>
      </c>
    </row>
    <row r="19" ht="15" customHeight="1">
      <c r="A19" s="34" t="n">
        <v>17</v>
      </c>
      <c r="B19" s="34">
        <f>F18</f>
        <v/>
      </c>
      <c r="C19" s="34">
        <f>-5+B19-2*B19</f>
        <v/>
      </c>
      <c r="D19" s="34">
        <f>-2</f>
        <v/>
      </c>
      <c r="E19" s="34">
        <f>$B$35</f>
        <v/>
      </c>
      <c r="F19" s="34">
        <f>B19-(C19/D19)-(((C19^2)*(E19))/(2*(D19)^3))</f>
        <v/>
      </c>
      <c r="G19" s="34">
        <f>ABS((F19-B19)/F19)*100</f>
        <v/>
      </c>
      <c r="H19" s="34">
        <f>IF(G19&lt;0.00001,"SI","NO")</f>
        <v/>
      </c>
    </row>
    <row r="20" ht="15" customHeight="1">
      <c r="A20" s="34" t="n">
        <v>18</v>
      </c>
      <c r="B20" s="34">
        <f>F19</f>
        <v/>
      </c>
      <c r="C20" s="34">
        <f>-5+B20-2*B20</f>
        <v/>
      </c>
      <c r="D20" s="34">
        <f>-2</f>
        <v/>
      </c>
      <c r="E20" s="34">
        <f>$B$35</f>
        <v/>
      </c>
      <c r="F20" s="34">
        <f>B20-(C20/D20)-(((C20^2)*(E20))/(2*(D20)^3))</f>
        <v/>
      </c>
      <c r="G20" s="34">
        <f>ABS((F20-B20)/F20)*100</f>
        <v/>
      </c>
      <c r="H20" s="34">
        <f>IF(G20&lt;0.00001,"SI","NO")</f>
        <v/>
      </c>
    </row>
    <row r="21" ht="15" customHeight="1">
      <c r="A21" s="34" t="n">
        <v>19</v>
      </c>
      <c r="B21" s="34">
        <f>F20</f>
        <v/>
      </c>
      <c r="C21" s="34">
        <f>-5+B21-2*B21</f>
        <v/>
      </c>
      <c r="D21" s="34">
        <f>-2</f>
        <v/>
      </c>
      <c r="E21" s="34">
        <f>$B$35</f>
        <v/>
      </c>
      <c r="F21" s="34">
        <f>B21-(C21/D21)-(((C21^2)*(E21))/(2*(D21)^3))</f>
        <v/>
      </c>
      <c r="G21" s="34">
        <f>ABS((F21-B21)/F21)*100</f>
        <v/>
      </c>
      <c r="H21" s="34">
        <f>IF(G21&lt;0.00001,"SI","NO")</f>
        <v/>
      </c>
    </row>
    <row r="22" ht="15" customHeight="1">
      <c r="A22" s="34" t="n">
        <v>20</v>
      </c>
      <c r="B22" s="34">
        <f>F21</f>
        <v/>
      </c>
      <c r="C22" s="34">
        <f>-5+B22-2*B22</f>
        <v/>
      </c>
      <c r="D22" s="34">
        <f>-2</f>
        <v/>
      </c>
      <c r="E22" s="34">
        <f>$B$35</f>
        <v/>
      </c>
      <c r="F22" s="34">
        <f>B22-(C22/D22)-(((C22^2)*(E22))/(2*(D22)^3))</f>
        <v/>
      </c>
      <c r="G22" s="34">
        <f>ABS((F22-B22)/F22)*100</f>
        <v/>
      </c>
      <c r="H22" s="34">
        <f>IF(G22&lt;0.00001,"SI","NO")</f>
        <v/>
      </c>
    </row>
    <row r="23" ht="15" customHeight="1">
      <c r="A23" s="34" t="n">
        <v>21</v>
      </c>
      <c r="B23" s="34">
        <f>F22</f>
        <v/>
      </c>
      <c r="C23" s="34">
        <f>-5+B23-2*B23</f>
        <v/>
      </c>
      <c r="D23" s="34">
        <f>-2</f>
        <v/>
      </c>
      <c r="E23" s="34">
        <f>$B$35</f>
        <v/>
      </c>
      <c r="F23" s="34">
        <f>B23-(C23/D23)-(((C23^2)*(E23))/(2*(D23)^3))</f>
        <v/>
      </c>
      <c r="G23" s="34">
        <f>ABS((F23-B23)/F23)*100</f>
        <v/>
      </c>
      <c r="H23" s="34">
        <f>IF(G23&lt;0.00001,"SI","NO")</f>
        <v/>
      </c>
    </row>
    <row r="24" ht="15" customHeight="1">
      <c r="A24" s="34" t="n">
        <v>22</v>
      </c>
      <c r="B24" s="34">
        <f>F23</f>
        <v/>
      </c>
      <c r="C24" s="34">
        <f>-5+B24-2*B24</f>
        <v/>
      </c>
      <c r="D24" s="34">
        <f>-2</f>
        <v/>
      </c>
      <c r="E24" s="34">
        <f>$B$35</f>
        <v/>
      </c>
      <c r="F24" s="34">
        <f>B24-(C24/D24)-(((C24^2)*(E24))/(2*(D24)^3))</f>
        <v/>
      </c>
      <c r="G24" s="34">
        <f>ABS((F24-B24)/F24)*100</f>
        <v/>
      </c>
      <c r="H24" s="34">
        <f>IF(G24&lt;0.00001,"SI","NO")</f>
        <v/>
      </c>
    </row>
    <row r="25" ht="15" customHeight="1">
      <c r="A25" s="34" t="n">
        <v>23</v>
      </c>
      <c r="B25" s="34">
        <f>F24</f>
        <v/>
      </c>
      <c r="C25" s="34">
        <f>-5+B25-2*B25</f>
        <v/>
      </c>
      <c r="D25" s="34">
        <f>-2</f>
        <v/>
      </c>
      <c r="E25" s="34">
        <f>$B$35</f>
        <v/>
      </c>
      <c r="F25" s="34">
        <f>B25-(C25/D25)-(((C25^2)*(E25))/(2*(D25)^3))</f>
        <v/>
      </c>
      <c r="G25" s="34">
        <f>ABS((F25-B25)/F25)*100</f>
        <v/>
      </c>
      <c r="H25" s="34">
        <f>IF(G25&lt;0.00001,"SI","NO")</f>
        <v/>
      </c>
    </row>
    <row r="26" ht="15" customHeight="1">
      <c r="A26" s="34" t="n">
        <v>24</v>
      </c>
      <c r="B26" s="34">
        <f>F25</f>
        <v/>
      </c>
      <c r="C26" s="34">
        <f>-5+B26-2*B26</f>
        <v/>
      </c>
      <c r="D26" s="34">
        <f>-2</f>
        <v/>
      </c>
      <c r="E26" s="34">
        <f>$B$35</f>
        <v/>
      </c>
      <c r="F26" s="34">
        <f>B26-(C26/D26)-(((C26^2)*(E26))/(2*(D26)^3))</f>
        <v/>
      </c>
      <c r="G26" s="34">
        <f>ABS((F26-B26)/F26)*100</f>
        <v/>
      </c>
      <c r="H26" s="34">
        <f>IF(G26&lt;0.00001,"SI","NO")</f>
        <v/>
      </c>
    </row>
    <row r="27" ht="17.25" customHeight="1">
      <c r="A27" s="35" t="inlineStr">
        <is>
          <t>MÉTODO DE CHEBYSHEV  —  x3 - 2*x - 5</t>
        </is>
      </c>
    </row>
    <row r="28" ht="15" customHeight="1">
      <c r="A28" s="36" t="inlineStr">
        <is>
          <t>Ecuación:</t>
        </is>
      </c>
      <c r="B28" s="6" t="inlineStr">
        <is>
          <t>x3 - 2*x - 5</t>
        </is>
      </c>
    </row>
    <row r="35">
      <c r="B35" t="n">
        <v>0</v>
      </c>
    </row>
  </sheetData>
  <mergeCells count="1">
    <mergeCell ref="A27:H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37" t="inlineStr">
        <is>
          <t>k</t>
        </is>
      </c>
      <c r="B1" s="37" t="inlineStr">
        <is>
          <t>xₖ</t>
        </is>
      </c>
      <c r="C1" s="37" t="inlineStr">
        <is>
          <t>f(xₖ)</t>
        </is>
      </c>
      <c r="D1" s="37" t="inlineStr">
        <is>
          <t>f'(xₖ)</t>
        </is>
      </c>
      <c r="E1" s="37" t="inlineStr">
        <is>
          <t>f''(xₖ)</t>
        </is>
      </c>
      <c r="F1" s="37" t="inlineStr">
        <is>
          <t>xₖ₊₁</t>
        </is>
      </c>
      <c r="G1" s="37" t="inlineStr">
        <is>
          <t>Error %</t>
        </is>
      </c>
      <c r="H1" s="37" t="inlineStr">
        <is>
          <t>Convergencia</t>
        </is>
      </c>
    </row>
    <row r="2" ht="15" customHeight="1">
      <c r="A2" s="38" t="n">
        <v>0</v>
      </c>
      <c r="B2" s="38" t="n">
        <v>1</v>
      </c>
      <c r="C2" s="38">
        <f>-5+B2-2*B2</f>
        <v/>
      </c>
      <c r="D2" s="38">
        <f>-2</f>
        <v/>
      </c>
      <c r="E2" s="38">
        <f>$B$35</f>
        <v/>
      </c>
      <c r="F2" s="38">
        <f>B2-(C2/(D2-(E2*C2)/(2*D2)))</f>
        <v/>
      </c>
      <c r="G2" s="38">
        <f>ABS((F2-B2)/F2)*100</f>
        <v/>
      </c>
      <c r="H2" s="38">
        <f>IF(G2&lt;0.00001,"SI","NO")</f>
        <v/>
      </c>
    </row>
    <row r="3" ht="15" customHeight="1">
      <c r="A3" s="39" t="n">
        <v>1</v>
      </c>
      <c r="B3" s="39">
        <f>F2</f>
        <v/>
      </c>
      <c r="C3" s="39">
        <f>-5+B3-2*B3</f>
        <v/>
      </c>
      <c r="D3" s="39">
        <f>-2</f>
        <v/>
      </c>
      <c r="E3" s="39">
        <f>$B$35</f>
        <v/>
      </c>
      <c r="F3" s="39">
        <f>B3-(C3/(D3-(E3*C3)/(2*D3)))</f>
        <v/>
      </c>
      <c r="G3" s="39">
        <f>ABS((F3-B3)/F3)*100</f>
        <v/>
      </c>
      <c r="H3" s="39">
        <f>IF(G3&lt;0.00001,"SI","NO")</f>
        <v/>
      </c>
    </row>
    <row r="4" ht="15" customHeight="1">
      <c r="A4" s="38" t="n">
        <v>2</v>
      </c>
      <c r="B4" s="38">
        <f>F3</f>
        <v/>
      </c>
      <c r="C4" s="38">
        <f>-5+B4-2*B4</f>
        <v/>
      </c>
      <c r="D4" s="38">
        <f>-2</f>
        <v/>
      </c>
      <c r="E4" s="38">
        <f>$B$35</f>
        <v/>
      </c>
      <c r="F4" s="38">
        <f>B4-(C4/(D4-(E4*C4)/(2*D4)))</f>
        <v/>
      </c>
      <c r="G4" s="38">
        <f>ABS((F4-B4)/F4)*100</f>
        <v/>
      </c>
      <c r="H4" s="38">
        <f>IF(G4&lt;0.00001,"SI","NO")</f>
        <v/>
      </c>
    </row>
    <row r="5" ht="15" customHeight="1">
      <c r="A5" s="39" t="n">
        <v>3</v>
      </c>
      <c r="B5" s="39">
        <f>F4</f>
        <v/>
      </c>
      <c r="C5" s="39">
        <f>-5+B5-2*B5</f>
        <v/>
      </c>
      <c r="D5" s="39">
        <f>-2</f>
        <v/>
      </c>
      <c r="E5" s="39">
        <f>$B$35</f>
        <v/>
      </c>
      <c r="F5" s="39">
        <f>B5-(C5/(D5-(E5*C5)/(2*D5)))</f>
        <v/>
      </c>
      <c r="G5" s="39">
        <f>ABS((F5-B5)/F5)*100</f>
        <v/>
      </c>
      <c r="H5" s="39">
        <f>IF(G5&lt;0.00001,"SI","NO")</f>
        <v/>
      </c>
    </row>
    <row r="6" ht="15" customHeight="1">
      <c r="A6" s="38" t="n">
        <v>4</v>
      </c>
      <c r="B6" s="38">
        <f>F5</f>
        <v/>
      </c>
      <c r="C6" s="38">
        <f>-5+B6-2*B6</f>
        <v/>
      </c>
      <c r="D6" s="38">
        <f>-2</f>
        <v/>
      </c>
      <c r="E6" s="38">
        <f>$B$35</f>
        <v/>
      </c>
      <c r="F6" s="38">
        <f>B6-(C6/(D6-(E6*C6)/(2*D6)))</f>
        <v/>
      </c>
      <c r="G6" s="38">
        <f>ABS((F6-B6)/F6)*100</f>
        <v/>
      </c>
      <c r="H6" s="38">
        <f>IF(G6&lt;0.00001,"SI","NO")</f>
        <v/>
      </c>
    </row>
    <row r="7" ht="15" customHeight="1">
      <c r="A7" s="39" t="n">
        <v>5</v>
      </c>
      <c r="B7" s="39">
        <f>F6</f>
        <v/>
      </c>
      <c r="C7" s="39">
        <f>-5+B7-2*B7</f>
        <v/>
      </c>
      <c r="D7" s="39">
        <f>-2</f>
        <v/>
      </c>
      <c r="E7" s="39">
        <f>$B$35</f>
        <v/>
      </c>
      <c r="F7" s="39">
        <f>B7-(C7/(D7-(E7*C7)/(2*D7)))</f>
        <v/>
      </c>
      <c r="G7" s="39">
        <f>ABS((F7-B7)/F7)*100</f>
        <v/>
      </c>
      <c r="H7" s="39">
        <f>IF(G7&lt;0.00001,"SI","NO")</f>
        <v/>
      </c>
    </row>
    <row r="8" ht="15" customHeight="1">
      <c r="A8" s="38" t="n">
        <v>6</v>
      </c>
      <c r="B8" s="38">
        <f>F7</f>
        <v/>
      </c>
      <c r="C8" s="38">
        <f>-5+B8-2*B8</f>
        <v/>
      </c>
      <c r="D8" s="38">
        <f>-2</f>
        <v/>
      </c>
      <c r="E8" s="38">
        <f>$B$35</f>
        <v/>
      </c>
      <c r="F8" s="38">
        <f>B8-(C8/(D8-(E8*C8)/(2*D8)))</f>
        <v/>
      </c>
      <c r="G8" s="38">
        <f>ABS((F8-B8)/F8)*100</f>
        <v/>
      </c>
      <c r="H8" s="38">
        <f>IF(G8&lt;0.00001,"SI","NO")</f>
        <v/>
      </c>
    </row>
    <row r="9" ht="15" customHeight="1">
      <c r="A9" s="39" t="n">
        <v>7</v>
      </c>
      <c r="B9" s="39">
        <f>F8</f>
        <v/>
      </c>
      <c r="C9" s="39">
        <f>-5+B9-2*B9</f>
        <v/>
      </c>
      <c r="D9" s="39">
        <f>-2</f>
        <v/>
      </c>
      <c r="E9" s="39">
        <f>$B$35</f>
        <v/>
      </c>
      <c r="F9" s="39">
        <f>B9-(C9/(D9-(E9*C9)/(2*D9)))</f>
        <v/>
      </c>
      <c r="G9" s="39">
        <f>ABS((F9-B9)/F9)*100</f>
        <v/>
      </c>
      <c r="H9" s="39">
        <f>IF(G9&lt;0.00001,"SI","NO")</f>
        <v/>
      </c>
    </row>
    <row r="10" ht="15" customHeight="1">
      <c r="A10" s="38" t="n">
        <v>8</v>
      </c>
      <c r="B10" s="38">
        <f>F9</f>
        <v/>
      </c>
      <c r="C10" s="38">
        <f>-5+B10-2*B10</f>
        <v/>
      </c>
      <c r="D10" s="38">
        <f>-2</f>
        <v/>
      </c>
      <c r="E10" s="38">
        <f>$B$35</f>
        <v/>
      </c>
      <c r="F10" s="38">
        <f>B10-(C10/(D10-(E10*C10)/(2*D10)))</f>
        <v/>
      </c>
      <c r="G10" s="38">
        <f>ABS((F10-B10)/F10)*100</f>
        <v/>
      </c>
      <c r="H10" s="38">
        <f>IF(G10&lt;0.00001,"SI","NO")</f>
        <v/>
      </c>
    </row>
    <row r="11" ht="15" customHeight="1">
      <c r="A11" s="39" t="n">
        <v>9</v>
      </c>
      <c r="B11" s="39">
        <f>F10</f>
        <v/>
      </c>
      <c r="C11" s="39">
        <f>-5+B11-2*B11</f>
        <v/>
      </c>
      <c r="D11" s="39">
        <f>-2</f>
        <v/>
      </c>
      <c r="E11" s="39">
        <f>$B$35</f>
        <v/>
      </c>
      <c r="F11" s="39">
        <f>B11-(C11/(D11-(E11*C11)/(2*D11)))</f>
        <v/>
      </c>
      <c r="G11" s="39">
        <f>ABS((F11-B11)/F11)*100</f>
        <v/>
      </c>
      <c r="H11" s="39">
        <f>IF(G11&lt;0.00001,"SI","NO")</f>
        <v/>
      </c>
    </row>
    <row r="12" ht="15" customHeight="1">
      <c r="A12" s="38" t="n">
        <v>10</v>
      </c>
      <c r="B12" s="38">
        <f>F11</f>
        <v/>
      </c>
      <c r="C12" s="38">
        <f>-5+B12-2*B12</f>
        <v/>
      </c>
      <c r="D12" s="38">
        <f>-2</f>
        <v/>
      </c>
      <c r="E12" s="38">
        <f>$B$35</f>
        <v/>
      </c>
      <c r="F12" s="38">
        <f>B12-(C12/(D12-(E12*C12)/(2*D12)))</f>
        <v/>
      </c>
      <c r="G12" s="38">
        <f>ABS((F12-B12)/F12)*100</f>
        <v/>
      </c>
      <c r="H12" s="38">
        <f>IF(G12&lt;0.00001,"SI","NO")</f>
        <v/>
      </c>
    </row>
    <row r="13" ht="15" customHeight="1">
      <c r="A13" s="39" t="n">
        <v>11</v>
      </c>
      <c r="B13" s="39">
        <f>F12</f>
        <v/>
      </c>
      <c r="C13" s="39">
        <f>-5+B13-2*B13</f>
        <v/>
      </c>
      <c r="D13" s="39">
        <f>-2</f>
        <v/>
      </c>
      <c r="E13" s="39">
        <f>$B$35</f>
        <v/>
      </c>
      <c r="F13" s="39">
        <f>B13-(C13/(D13-(E13*C13)/(2*D13)))</f>
        <v/>
      </c>
      <c r="G13" s="39">
        <f>ABS((F13-B13)/F13)*100</f>
        <v/>
      </c>
      <c r="H13" s="39">
        <f>IF(G13&lt;0.00001,"SI","NO")</f>
        <v/>
      </c>
    </row>
    <row r="14" ht="15" customHeight="1">
      <c r="A14" s="38" t="n">
        <v>12</v>
      </c>
      <c r="B14" s="38">
        <f>F13</f>
        <v/>
      </c>
      <c r="C14" s="38">
        <f>-5+B14-2*B14</f>
        <v/>
      </c>
      <c r="D14" s="38">
        <f>-2</f>
        <v/>
      </c>
      <c r="E14" s="38">
        <f>$B$35</f>
        <v/>
      </c>
      <c r="F14" s="38">
        <f>B14-(C14/(D14-(E14*C14)/(2*D14)))</f>
        <v/>
      </c>
      <c r="G14" s="38">
        <f>ABS((F14-B14)/F14)*100</f>
        <v/>
      </c>
      <c r="H14" s="38">
        <f>IF(G14&lt;0.00001,"SI","NO")</f>
        <v/>
      </c>
    </row>
    <row r="15" ht="15" customHeight="1">
      <c r="A15" s="39" t="n">
        <v>13</v>
      </c>
      <c r="B15" s="39">
        <f>F14</f>
        <v/>
      </c>
      <c r="C15" s="39">
        <f>-5+B15-2*B15</f>
        <v/>
      </c>
      <c r="D15" s="39">
        <f>-2</f>
        <v/>
      </c>
      <c r="E15" s="39">
        <f>$B$35</f>
        <v/>
      </c>
      <c r="F15" s="39">
        <f>B15-(C15/(D15-(E15*C15)/(2*D15)))</f>
        <v/>
      </c>
      <c r="G15" s="39">
        <f>ABS((F15-B15)/F15)*100</f>
        <v/>
      </c>
      <c r="H15" s="39">
        <f>IF(G15&lt;0.00001,"SI","NO")</f>
        <v/>
      </c>
    </row>
    <row r="16" ht="15" customHeight="1">
      <c r="A16" s="38" t="n">
        <v>14</v>
      </c>
      <c r="B16" s="38">
        <f>F15</f>
        <v/>
      </c>
      <c r="C16" s="38">
        <f>-5+B16-2*B16</f>
        <v/>
      </c>
      <c r="D16" s="38">
        <f>-2</f>
        <v/>
      </c>
      <c r="E16" s="38">
        <f>$B$35</f>
        <v/>
      </c>
      <c r="F16" s="38">
        <f>B16-(C16/(D16-(E16*C16)/(2*D16)))</f>
        <v/>
      </c>
      <c r="G16" s="38">
        <f>ABS((F16-B16)/F16)*100</f>
        <v/>
      </c>
      <c r="H16" s="38">
        <f>IF(G16&lt;0.00001,"SI","NO")</f>
        <v/>
      </c>
    </row>
    <row r="17" ht="15" customHeight="1">
      <c r="A17" s="39" t="n">
        <v>15</v>
      </c>
      <c r="B17" s="39">
        <f>F16</f>
        <v/>
      </c>
      <c r="C17" s="39">
        <f>-5+B17-2*B17</f>
        <v/>
      </c>
      <c r="D17" s="39">
        <f>-2</f>
        <v/>
      </c>
      <c r="E17" s="39">
        <f>$B$35</f>
        <v/>
      </c>
      <c r="F17" s="39">
        <f>B17-(C17/(D17-(E17*C17)/(2*D17)))</f>
        <v/>
      </c>
      <c r="G17" s="39">
        <f>ABS((F17-B17)/F17)*100</f>
        <v/>
      </c>
      <c r="H17" s="39">
        <f>IF(G17&lt;0.00001,"SI","NO")</f>
        <v/>
      </c>
    </row>
    <row r="18" ht="15" customHeight="1">
      <c r="A18" s="38" t="n">
        <v>16</v>
      </c>
      <c r="B18" s="38">
        <f>F17</f>
        <v/>
      </c>
      <c r="C18" s="38">
        <f>-5+B18-2*B18</f>
        <v/>
      </c>
      <c r="D18" s="38">
        <f>-2</f>
        <v/>
      </c>
      <c r="E18" s="38">
        <f>$B$35</f>
        <v/>
      </c>
      <c r="F18" s="38">
        <f>B18-(C18/(D18-(E18*C18)/(2*D18)))</f>
        <v/>
      </c>
      <c r="G18" s="38">
        <f>ABS((F18-B18)/F18)*100</f>
        <v/>
      </c>
      <c r="H18" s="38">
        <f>IF(G18&lt;0.00001,"SI","NO")</f>
        <v/>
      </c>
    </row>
    <row r="19" ht="15" customHeight="1">
      <c r="A19" s="39" t="n">
        <v>17</v>
      </c>
      <c r="B19" s="39">
        <f>F18</f>
        <v/>
      </c>
      <c r="C19" s="39">
        <f>-5+B19-2*B19</f>
        <v/>
      </c>
      <c r="D19" s="39">
        <f>-2</f>
        <v/>
      </c>
      <c r="E19" s="39">
        <f>$B$35</f>
        <v/>
      </c>
      <c r="F19" s="39">
        <f>B19-(C19/(D19-(E19*C19)/(2*D19)))</f>
        <v/>
      </c>
      <c r="G19" s="39">
        <f>ABS((F19-B19)/F19)*100</f>
        <v/>
      </c>
      <c r="H19" s="39">
        <f>IF(G19&lt;0.00001,"SI","NO")</f>
        <v/>
      </c>
    </row>
    <row r="20" ht="15" customHeight="1">
      <c r="A20" s="38" t="n">
        <v>18</v>
      </c>
      <c r="B20" s="38">
        <f>F19</f>
        <v/>
      </c>
      <c r="C20" s="38">
        <f>-5+B20-2*B20</f>
        <v/>
      </c>
      <c r="D20" s="38">
        <f>-2</f>
        <v/>
      </c>
      <c r="E20" s="38">
        <f>$B$35</f>
        <v/>
      </c>
      <c r="F20" s="38">
        <f>B20-(C20/(D20-(E20*C20)/(2*D20)))</f>
        <v/>
      </c>
      <c r="G20" s="38">
        <f>ABS((F20-B20)/F20)*100</f>
        <v/>
      </c>
      <c r="H20" s="38">
        <f>IF(G20&lt;0.00001,"SI","NO")</f>
        <v/>
      </c>
    </row>
    <row r="21" ht="15" customHeight="1">
      <c r="A21" s="39" t="n">
        <v>19</v>
      </c>
      <c r="B21" s="39">
        <f>F20</f>
        <v/>
      </c>
      <c r="C21" s="39">
        <f>-5+B21-2*B21</f>
        <v/>
      </c>
      <c r="D21" s="39">
        <f>-2</f>
        <v/>
      </c>
      <c r="E21" s="39">
        <f>$B$35</f>
        <v/>
      </c>
      <c r="F21" s="39">
        <f>B21-(C21/(D21-(E21*C21)/(2*D21)))</f>
        <v/>
      </c>
      <c r="G21" s="39">
        <f>ABS((F21-B21)/F21)*100</f>
        <v/>
      </c>
      <c r="H21" s="39">
        <f>IF(G21&lt;0.00001,"SI","NO")</f>
        <v/>
      </c>
    </row>
    <row r="22" ht="15" customHeight="1">
      <c r="A22" s="38" t="n">
        <v>20</v>
      </c>
      <c r="B22" s="38">
        <f>F21</f>
        <v/>
      </c>
      <c r="C22" s="38">
        <f>-5+B22-2*B22</f>
        <v/>
      </c>
      <c r="D22" s="38">
        <f>-2</f>
        <v/>
      </c>
      <c r="E22" s="38">
        <f>$B$35</f>
        <v/>
      </c>
      <c r="F22" s="38">
        <f>B22-(C22/(D22-(E22*C22)/(2*D22)))</f>
        <v/>
      </c>
      <c r="G22" s="38">
        <f>ABS((F22-B22)/F22)*100</f>
        <v/>
      </c>
      <c r="H22" s="38">
        <f>IF(G22&lt;0.00001,"SI","NO")</f>
        <v/>
      </c>
    </row>
    <row r="23" ht="15" customHeight="1">
      <c r="A23" s="39" t="n">
        <v>21</v>
      </c>
      <c r="B23" s="39">
        <f>F22</f>
        <v/>
      </c>
      <c r="C23" s="39">
        <f>-5+B23-2*B23</f>
        <v/>
      </c>
      <c r="D23" s="39">
        <f>-2</f>
        <v/>
      </c>
      <c r="E23" s="39">
        <f>$B$35</f>
        <v/>
      </c>
      <c r="F23" s="39">
        <f>B23-(C23/(D23-(E23*C23)/(2*D23)))</f>
        <v/>
      </c>
      <c r="G23" s="39">
        <f>ABS((F23-B23)/F23)*100</f>
        <v/>
      </c>
      <c r="H23" s="39">
        <f>IF(G23&lt;0.00001,"SI","NO")</f>
        <v/>
      </c>
    </row>
    <row r="24" ht="15" customHeight="1">
      <c r="A24" s="38" t="n">
        <v>22</v>
      </c>
      <c r="B24" s="38">
        <f>F23</f>
        <v/>
      </c>
      <c r="C24" s="38">
        <f>-5+B24-2*B24</f>
        <v/>
      </c>
      <c r="D24" s="38">
        <f>-2</f>
        <v/>
      </c>
      <c r="E24" s="38">
        <f>$B$35</f>
        <v/>
      </c>
      <c r="F24" s="38">
        <f>B24-(C24/(D24-(E24*C24)/(2*D24)))</f>
        <v/>
      </c>
      <c r="G24" s="38">
        <f>ABS((F24-B24)/F24)*100</f>
        <v/>
      </c>
      <c r="H24" s="38">
        <f>IF(G24&lt;0.00001,"SI","NO")</f>
        <v/>
      </c>
    </row>
    <row r="25" ht="15" customHeight="1">
      <c r="A25" s="39" t="n">
        <v>23</v>
      </c>
      <c r="B25" s="39">
        <f>F24</f>
        <v/>
      </c>
      <c r="C25" s="39">
        <f>-5+B25-2*B25</f>
        <v/>
      </c>
      <c r="D25" s="39">
        <f>-2</f>
        <v/>
      </c>
      <c r="E25" s="39">
        <f>$B$35</f>
        <v/>
      </c>
      <c r="F25" s="39">
        <f>B25-(C25/(D25-(E25*C25)/(2*D25)))</f>
        <v/>
      </c>
      <c r="G25" s="39">
        <f>ABS((F25-B25)/F25)*100</f>
        <v/>
      </c>
      <c r="H25" s="39">
        <f>IF(G25&lt;0.00001,"SI","NO")</f>
        <v/>
      </c>
    </row>
    <row r="26" ht="15" customHeight="1">
      <c r="A26" s="38" t="n">
        <v>24</v>
      </c>
      <c r="B26" s="38">
        <f>F25</f>
        <v/>
      </c>
      <c r="C26" s="38">
        <f>-5+B26-2*B26</f>
        <v/>
      </c>
      <c r="D26" s="38">
        <f>-2</f>
        <v/>
      </c>
      <c r="E26" s="38">
        <f>$B$35</f>
        <v/>
      </c>
      <c r="F26" s="38">
        <f>B26-(C26/(D26-(E26*C26)/(2*D26)))</f>
        <v/>
      </c>
      <c r="G26" s="38">
        <f>ABS((F26-B26)/F26)*100</f>
        <v/>
      </c>
      <c r="H26" s="38">
        <f>IF(G26&lt;0.00001,"SI","NO")</f>
        <v/>
      </c>
    </row>
    <row r="27" ht="17.25" customHeight="1">
      <c r="A27" s="40" t="inlineStr">
        <is>
          <t>MÉTODO DE HALLEY  —  x3 - 2*x - 5</t>
        </is>
      </c>
    </row>
    <row r="28" ht="15" customHeight="1">
      <c r="A28" s="41" t="inlineStr">
        <is>
          <t>Ecuación:</t>
        </is>
      </c>
      <c r="B28" s="6" t="inlineStr">
        <is>
          <t>x3 - 2*x - 5</t>
        </is>
      </c>
    </row>
    <row r="35">
      <c r="B35" t="n">
        <v>0</v>
      </c>
    </row>
  </sheetData>
  <mergeCells count="1">
    <mergeCell ref="A27:H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42" t="inlineStr">
        <is>
          <t>k</t>
        </is>
      </c>
      <c r="B1" s="42" t="inlineStr">
        <is>
          <t>xₖ</t>
        </is>
      </c>
      <c r="C1" s="42" t="inlineStr">
        <is>
          <t>f(xₖ)</t>
        </is>
      </c>
      <c r="D1" s="42" t="inlineStr">
        <is>
          <t>f'(xₖ)</t>
        </is>
      </c>
      <c r="E1" s="42" t="inlineStr">
        <is>
          <t>f''(xₖ)</t>
        </is>
      </c>
      <c r="F1" s="42" t="inlineStr">
        <is>
          <t>xₖ₊₁</t>
        </is>
      </c>
      <c r="G1" s="42" t="inlineStr">
        <is>
          <t>Error %</t>
        </is>
      </c>
      <c r="H1" s="42" t="inlineStr">
        <is>
          <t>Convergencia</t>
        </is>
      </c>
    </row>
    <row r="2" ht="15" customHeight="1">
      <c r="A2" s="43" t="n">
        <v>0</v>
      </c>
      <c r="B2" s="43" t="n">
        <v>1</v>
      </c>
      <c r="C2" s="43">
        <f>-5+B2-2*B2</f>
        <v/>
      </c>
      <c r="D2" s="43">
        <f>-2</f>
        <v/>
      </c>
      <c r="E2" s="43">
        <f>$B$35</f>
        <v/>
      </c>
      <c r="F2" s="43">
        <f>B2-(2*(D2^2)-C2*E2)/(2*((D2^2)-C2*E2))*((C2)/(D2))</f>
        <v/>
      </c>
      <c r="G2" s="43">
        <f>ABS((F2-B2)/F2)*100</f>
        <v/>
      </c>
      <c r="H2" s="43">
        <f>IF(G2&lt;0.00001,"SI","NO")</f>
        <v/>
      </c>
    </row>
    <row r="3" ht="15" customHeight="1">
      <c r="A3" s="27" t="n">
        <v>1</v>
      </c>
      <c r="B3" s="27">
        <f>F2</f>
        <v/>
      </c>
      <c r="C3" s="27">
        <f>-5+B3-2*B3</f>
        <v/>
      </c>
      <c r="D3" s="27">
        <f>-2</f>
        <v/>
      </c>
      <c r="E3" s="27">
        <f>$B$35</f>
        <v/>
      </c>
      <c r="F3" s="27">
        <f>B3-(2*(D3^2)-C3*E3)/(2*((D3^2)-C3*E3))*((C3)/(D3))</f>
        <v/>
      </c>
      <c r="G3" s="27">
        <f>ABS((F3-B3)/F3)*100</f>
        <v/>
      </c>
      <c r="H3" s="27">
        <f>IF(G3&lt;0.00001,"SI","NO")</f>
        <v/>
      </c>
    </row>
    <row r="4" ht="15" customHeight="1">
      <c r="A4" s="43" t="n">
        <v>2</v>
      </c>
      <c r="B4" s="43">
        <f>F3</f>
        <v/>
      </c>
      <c r="C4" s="43">
        <f>-5+B4-2*B4</f>
        <v/>
      </c>
      <c r="D4" s="43">
        <f>-2</f>
        <v/>
      </c>
      <c r="E4" s="43">
        <f>$B$35</f>
        <v/>
      </c>
      <c r="F4" s="43">
        <f>B4-(2*(D4^2)-C4*E4)/(2*((D4^2)-C4*E4))*((C4)/(D4))</f>
        <v/>
      </c>
      <c r="G4" s="43">
        <f>ABS((F4-B4)/F4)*100</f>
        <v/>
      </c>
      <c r="H4" s="43">
        <f>IF(G4&lt;0.00001,"SI","NO")</f>
        <v/>
      </c>
    </row>
    <row r="5" ht="15" customHeight="1">
      <c r="A5" s="27" t="n">
        <v>3</v>
      </c>
      <c r="B5" s="27">
        <f>F4</f>
        <v/>
      </c>
      <c r="C5" s="27">
        <f>-5+B5-2*B5</f>
        <v/>
      </c>
      <c r="D5" s="27">
        <f>-2</f>
        <v/>
      </c>
      <c r="E5" s="27">
        <f>$B$35</f>
        <v/>
      </c>
      <c r="F5" s="27">
        <f>B5-(2*(D5^2)-C5*E5)/(2*((D5^2)-C5*E5))*((C5)/(D5))</f>
        <v/>
      </c>
      <c r="G5" s="27">
        <f>ABS((F5-B5)/F5)*100</f>
        <v/>
      </c>
      <c r="H5" s="27">
        <f>IF(G5&lt;0.00001,"SI","NO")</f>
        <v/>
      </c>
    </row>
    <row r="6" ht="15" customHeight="1">
      <c r="A6" s="43" t="n">
        <v>4</v>
      </c>
      <c r="B6" s="43">
        <f>F5</f>
        <v/>
      </c>
      <c r="C6" s="43">
        <f>-5+B6-2*B6</f>
        <v/>
      </c>
      <c r="D6" s="43">
        <f>-2</f>
        <v/>
      </c>
      <c r="E6" s="43">
        <f>$B$35</f>
        <v/>
      </c>
      <c r="F6" s="43">
        <f>B6-(2*(D6^2)-C6*E6)/(2*((D6^2)-C6*E6))*((C6)/(D6))</f>
        <v/>
      </c>
      <c r="G6" s="43">
        <f>ABS((F6-B6)/F6)*100</f>
        <v/>
      </c>
      <c r="H6" s="43">
        <f>IF(G6&lt;0.00001,"SI","NO")</f>
        <v/>
      </c>
    </row>
    <row r="7" ht="15" customHeight="1">
      <c r="A7" s="27" t="n">
        <v>5</v>
      </c>
      <c r="B7" s="27">
        <f>F6</f>
        <v/>
      </c>
      <c r="C7" s="27">
        <f>-5+B7-2*B7</f>
        <v/>
      </c>
      <c r="D7" s="27">
        <f>-2</f>
        <v/>
      </c>
      <c r="E7" s="27">
        <f>$B$35</f>
        <v/>
      </c>
      <c r="F7" s="27">
        <f>B7-(2*(D7^2)-C7*E7)/(2*((D7^2)-C7*E7))*((C7)/(D7))</f>
        <v/>
      </c>
      <c r="G7" s="27">
        <f>ABS((F7-B7)/F7)*100</f>
        <v/>
      </c>
      <c r="H7" s="27">
        <f>IF(G7&lt;0.00001,"SI","NO")</f>
        <v/>
      </c>
    </row>
    <row r="8" ht="15" customHeight="1">
      <c r="A8" s="43" t="n">
        <v>6</v>
      </c>
      <c r="B8" s="43">
        <f>F7</f>
        <v/>
      </c>
      <c r="C8" s="43">
        <f>-5+B8-2*B8</f>
        <v/>
      </c>
      <c r="D8" s="43">
        <f>-2</f>
        <v/>
      </c>
      <c r="E8" s="43">
        <f>$B$35</f>
        <v/>
      </c>
      <c r="F8" s="43">
        <f>B8-(2*(D8^2)-C8*E8)/(2*((D8^2)-C8*E8))*((C8)/(D8))</f>
        <v/>
      </c>
      <c r="G8" s="43">
        <f>ABS((F8-B8)/F8)*100</f>
        <v/>
      </c>
      <c r="H8" s="43">
        <f>IF(G8&lt;0.00001,"SI","NO")</f>
        <v/>
      </c>
    </row>
    <row r="9" ht="15" customHeight="1">
      <c r="A9" s="27" t="n">
        <v>7</v>
      </c>
      <c r="B9" s="27">
        <f>F8</f>
        <v/>
      </c>
      <c r="C9" s="27">
        <f>-5+B9-2*B9</f>
        <v/>
      </c>
      <c r="D9" s="27">
        <f>-2</f>
        <v/>
      </c>
      <c r="E9" s="27">
        <f>$B$35</f>
        <v/>
      </c>
      <c r="F9" s="27">
        <f>B9-(2*(D9^2)-C9*E9)/(2*((D9^2)-C9*E9))*((C9)/(D9))</f>
        <v/>
      </c>
      <c r="G9" s="27">
        <f>ABS((F9-B9)/F9)*100</f>
        <v/>
      </c>
      <c r="H9" s="27">
        <f>IF(G9&lt;0.00001,"SI","NO")</f>
        <v/>
      </c>
    </row>
    <row r="10" ht="15" customHeight="1">
      <c r="A10" s="43" t="n">
        <v>8</v>
      </c>
      <c r="B10" s="43">
        <f>F9</f>
        <v/>
      </c>
      <c r="C10" s="43">
        <f>-5+B10-2*B10</f>
        <v/>
      </c>
      <c r="D10" s="43">
        <f>-2</f>
        <v/>
      </c>
      <c r="E10" s="43">
        <f>$B$35</f>
        <v/>
      </c>
      <c r="F10" s="43">
        <f>B10-(2*(D10^2)-C10*E10)/(2*((D10^2)-C10*E10))*((C10)/(D10))</f>
        <v/>
      </c>
      <c r="G10" s="43">
        <f>ABS((F10-B10)/F10)*100</f>
        <v/>
      </c>
      <c r="H10" s="43">
        <f>IF(G10&lt;0.00001,"SI","NO")</f>
        <v/>
      </c>
    </row>
    <row r="11" ht="15" customHeight="1">
      <c r="A11" s="27" t="n">
        <v>9</v>
      </c>
      <c r="B11" s="27">
        <f>F10</f>
        <v/>
      </c>
      <c r="C11" s="27">
        <f>-5+B11-2*B11</f>
        <v/>
      </c>
      <c r="D11" s="27">
        <f>-2</f>
        <v/>
      </c>
      <c r="E11" s="27">
        <f>$B$35</f>
        <v/>
      </c>
      <c r="F11" s="27">
        <f>B11-(2*(D11^2)-C11*E11)/(2*((D11^2)-C11*E11))*((C11)/(D11))</f>
        <v/>
      </c>
      <c r="G11" s="27">
        <f>ABS((F11-B11)/F11)*100</f>
        <v/>
      </c>
      <c r="H11" s="27">
        <f>IF(G11&lt;0.00001,"SI","NO")</f>
        <v/>
      </c>
    </row>
    <row r="12" ht="15" customHeight="1">
      <c r="A12" s="43" t="n">
        <v>10</v>
      </c>
      <c r="B12" s="43">
        <f>F11</f>
        <v/>
      </c>
      <c r="C12" s="43">
        <f>-5+B12-2*B12</f>
        <v/>
      </c>
      <c r="D12" s="43">
        <f>-2</f>
        <v/>
      </c>
      <c r="E12" s="43">
        <f>$B$35</f>
        <v/>
      </c>
      <c r="F12" s="43">
        <f>B12-(2*(D12^2)-C12*E12)/(2*((D12^2)-C12*E12))*((C12)/(D12))</f>
        <v/>
      </c>
      <c r="G12" s="43">
        <f>ABS((F12-B12)/F12)*100</f>
        <v/>
      </c>
      <c r="H12" s="43">
        <f>IF(G12&lt;0.00001,"SI","NO")</f>
        <v/>
      </c>
    </row>
    <row r="13" ht="15" customHeight="1">
      <c r="A13" s="27" t="n">
        <v>11</v>
      </c>
      <c r="B13" s="27">
        <f>F12</f>
        <v/>
      </c>
      <c r="C13" s="27">
        <f>-5+B13-2*B13</f>
        <v/>
      </c>
      <c r="D13" s="27">
        <f>-2</f>
        <v/>
      </c>
      <c r="E13" s="27">
        <f>$B$35</f>
        <v/>
      </c>
      <c r="F13" s="27">
        <f>B13-(2*(D13^2)-C13*E13)/(2*((D13^2)-C13*E13))*((C13)/(D13))</f>
        <v/>
      </c>
      <c r="G13" s="27">
        <f>ABS((F13-B13)/F13)*100</f>
        <v/>
      </c>
      <c r="H13" s="27">
        <f>IF(G13&lt;0.00001,"SI","NO")</f>
        <v/>
      </c>
    </row>
    <row r="14" ht="15" customHeight="1">
      <c r="A14" s="43" t="n">
        <v>12</v>
      </c>
      <c r="B14" s="43">
        <f>F13</f>
        <v/>
      </c>
      <c r="C14" s="43">
        <f>-5+B14-2*B14</f>
        <v/>
      </c>
      <c r="D14" s="43">
        <f>-2</f>
        <v/>
      </c>
      <c r="E14" s="43">
        <f>$B$35</f>
        <v/>
      </c>
      <c r="F14" s="43">
        <f>B14-(2*(D14^2)-C14*E14)/(2*((D14^2)-C14*E14))*((C14)/(D14))</f>
        <v/>
      </c>
      <c r="G14" s="43">
        <f>ABS((F14-B14)/F14)*100</f>
        <v/>
      </c>
      <c r="H14" s="43">
        <f>IF(G14&lt;0.00001,"SI","NO")</f>
        <v/>
      </c>
    </row>
    <row r="15" ht="15" customHeight="1">
      <c r="A15" s="27" t="n">
        <v>13</v>
      </c>
      <c r="B15" s="27">
        <f>F14</f>
        <v/>
      </c>
      <c r="C15" s="27">
        <f>-5+B15-2*B15</f>
        <v/>
      </c>
      <c r="D15" s="27">
        <f>-2</f>
        <v/>
      </c>
      <c r="E15" s="27">
        <f>$B$35</f>
        <v/>
      </c>
      <c r="F15" s="27">
        <f>B15-(2*(D15^2)-C15*E15)/(2*((D15^2)-C15*E15))*((C15)/(D15))</f>
        <v/>
      </c>
      <c r="G15" s="27">
        <f>ABS((F15-B15)/F15)*100</f>
        <v/>
      </c>
      <c r="H15" s="27">
        <f>IF(G15&lt;0.00001,"SI","NO")</f>
        <v/>
      </c>
    </row>
    <row r="16" ht="15" customHeight="1">
      <c r="A16" s="43" t="n">
        <v>14</v>
      </c>
      <c r="B16" s="43">
        <f>F15</f>
        <v/>
      </c>
      <c r="C16" s="43">
        <f>-5+B16-2*B16</f>
        <v/>
      </c>
      <c r="D16" s="43">
        <f>-2</f>
        <v/>
      </c>
      <c r="E16" s="43">
        <f>$B$35</f>
        <v/>
      </c>
      <c r="F16" s="43">
        <f>B16-(2*(D16^2)-C16*E16)/(2*((D16^2)-C16*E16))*((C16)/(D16))</f>
        <v/>
      </c>
      <c r="G16" s="43">
        <f>ABS((F16-B16)/F16)*100</f>
        <v/>
      </c>
      <c r="H16" s="43">
        <f>IF(G16&lt;0.00001,"SI","NO")</f>
        <v/>
      </c>
    </row>
    <row r="17" ht="15" customHeight="1">
      <c r="A17" s="27" t="n">
        <v>15</v>
      </c>
      <c r="B17" s="27">
        <f>F16</f>
        <v/>
      </c>
      <c r="C17" s="27">
        <f>-5+B17-2*B17</f>
        <v/>
      </c>
      <c r="D17" s="27">
        <f>-2</f>
        <v/>
      </c>
      <c r="E17" s="27">
        <f>$B$35</f>
        <v/>
      </c>
      <c r="F17" s="27">
        <f>B17-(2*(D17^2)-C17*E17)/(2*((D17^2)-C17*E17))*((C17)/(D17))</f>
        <v/>
      </c>
      <c r="G17" s="27">
        <f>ABS((F17-B17)/F17)*100</f>
        <v/>
      </c>
      <c r="H17" s="27">
        <f>IF(G17&lt;0.00001,"SI","NO")</f>
        <v/>
      </c>
    </row>
    <row r="18" ht="15" customHeight="1">
      <c r="A18" s="43" t="n">
        <v>16</v>
      </c>
      <c r="B18" s="43">
        <f>F17</f>
        <v/>
      </c>
      <c r="C18" s="43">
        <f>-5+B18-2*B18</f>
        <v/>
      </c>
      <c r="D18" s="43">
        <f>-2</f>
        <v/>
      </c>
      <c r="E18" s="43">
        <f>$B$35</f>
        <v/>
      </c>
      <c r="F18" s="43">
        <f>B18-(2*(D18^2)-C18*E18)/(2*((D18^2)-C18*E18))*((C18)/(D18))</f>
        <v/>
      </c>
      <c r="G18" s="43">
        <f>ABS((F18-B18)/F18)*100</f>
        <v/>
      </c>
      <c r="H18" s="43">
        <f>IF(G18&lt;0.00001,"SI","NO")</f>
        <v/>
      </c>
    </row>
    <row r="19" ht="15" customHeight="1">
      <c r="A19" s="27" t="n">
        <v>17</v>
      </c>
      <c r="B19" s="27">
        <f>F18</f>
        <v/>
      </c>
      <c r="C19" s="27">
        <f>-5+B19-2*B19</f>
        <v/>
      </c>
      <c r="D19" s="27">
        <f>-2</f>
        <v/>
      </c>
      <c r="E19" s="27">
        <f>$B$35</f>
        <v/>
      </c>
      <c r="F19" s="27">
        <f>B19-(2*(D19^2)-C19*E19)/(2*((D19^2)-C19*E19))*((C19)/(D19))</f>
        <v/>
      </c>
      <c r="G19" s="27">
        <f>ABS((F19-B19)/F19)*100</f>
        <v/>
      </c>
      <c r="H19" s="27">
        <f>IF(G19&lt;0.00001,"SI","NO")</f>
        <v/>
      </c>
    </row>
    <row r="20" ht="15" customHeight="1">
      <c r="A20" s="43" t="n">
        <v>18</v>
      </c>
      <c r="B20" s="43">
        <f>F19</f>
        <v/>
      </c>
      <c r="C20" s="43">
        <f>-5+B20-2*B20</f>
        <v/>
      </c>
      <c r="D20" s="43">
        <f>-2</f>
        <v/>
      </c>
      <c r="E20" s="43">
        <f>$B$35</f>
        <v/>
      </c>
      <c r="F20" s="43">
        <f>B20-(2*(D20^2)-C20*E20)/(2*((D20^2)-C20*E20))*((C20)/(D20))</f>
        <v/>
      </c>
      <c r="G20" s="43">
        <f>ABS((F20-B20)/F20)*100</f>
        <v/>
      </c>
      <c r="H20" s="43">
        <f>IF(G20&lt;0.00001,"SI","NO")</f>
        <v/>
      </c>
    </row>
    <row r="21" ht="15" customHeight="1">
      <c r="A21" s="27" t="n">
        <v>19</v>
      </c>
      <c r="B21" s="27">
        <f>F20</f>
        <v/>
      </c>
      <c r="C21" s="27">
        <f>-5+B21-2*B21</f>
        <v/>
      </c>
      <c r="D21" s="27">
        <f>-2</f>
        <v/>
      </c>
      <c r="E21" s="27">
        <f>$B$35</f>
        <v/>
      </c>
      <c r="F21" s="27">
        <f>B21-(2*(D21^2)-C21*E21)/(2*((D21^2)-C21*E21))*((C21)/(D21))</f>
        <v/>
      </c>
      <c r="G21" s="27">
        <f>ABS((F21-B21)/F21)*100</f>
        <v/>
      </c>
      <c r="H21" s="27">
        <f>IF(G21&lt;0.00001,"SI","NO")</f>
        <v/>
      </c>
    </row>
    <row r="22" ht="15" customHeight="1">
      <c r="A22" s="43" t="n">
        <v>20</v>
      </c>
      <c r="B22" s="43">
        <f>F21</f>
        <v/>
      </c>
      <c r="C22" s="43">
        <f>-5+B22-2*B22</f>
        <v/>
      </c>
      <c r="D22" s="43">
        <f>-2</f>
        <v/>
      </c>
      <c r="E22" s="43">
        <f>$B$35</f>
        <v/>
      </c>
      <c r="F22" s="43">
        <f>B22-(2*(D22^2)-C22*E22)/(2*((D22^2)-C22*E22))*((C22)/(D22))</f>
        <v/>
      </c>
      <c r="G22" s="43">
        <f>ABS((F22-B22)/F22)*100</f>
        <v/>
      </c>
      <c r="H22" s="43">
        <f>IF(G22&lt;0.00001,"SI","NO")</f>
        <v/>
      </c>
    </row>
    <row r="23" ht="15" customHeight="1">
      <c r="A23" s="27" t="n">
        <v>21</v>
      </c>
      <c r="B23" s="27">
        <f>F22</f>
        <v/>
      </c>
      <c r="C23" s="27">
        <f>-5+B23-2*B23</f>
        <v/>
      </c>
      <c r="D23" s="27">
        <f>-2</f>
        <v/>
      </c>
      <c r="E23" s="27">
        <f>$B$35</f>
        <v/>
      </c>
      <c r="F23" s="27">
        <f>B23-(2*(D23^2)-C23*E23)/(2*((D23^2)-C23*E23))*((C23)/(D23))</f>
        <v/>
      </c>
      <c r="G23" s="27">
        <f>ABS((F23-B23)/F23)*100</f>
        <v/>
      </c>
      <c r="H23" s="27">
        <f>IF(G23&lt;0.00001,"SI","NO")</f>
        <v/>
      </c>
    </row>
    <row r="24" ht="15" customHeight="1">
      <c r="A24" s="43" t="n">
        <v>22</v>
      </c>
      <c r="B24" s="43">
        <f>F23</f>
        <v/>
      </c>
      <c r="C24" s="43">
        <f>-5+B24-2*B24</f>
        <v/>
      </c>
      <c r="D24" s="43">
        <f>-2</f>
        <v/>
      </c>
      <c r="E24" s="43">
        <f>$B$35</f>
        <v/>
      </c>
      <c r="F24" s="43">
        <f>B24-(2*(D24^2)-C24*E24)/(2*((D24^2)-C24*E24))*((C24)/(D24))</f>
        <v/>
      </c>
      <c r="G24" s="43">
        <f>ABS((F24-B24)/F24)*100</f>
        <v/>
      </c>
      <c r="H24" s="43">
        <f>IF(G24&lt;0.00001,"SI","NO")</f>
        <v/>
      </c>
    </row>
    <row r="25" ht="15" customHeight="1">
      <c r="A25" s="27" t="n">
        <v>23</v>
      </c>
      <c r="B25" s="27">
        <f>F24</f>
        <v/>
      </c>
      <c r="C25" s="27">
        <f>-5+B25-2*B25</f>
        <v/>
      </c>
      <c r="D25" s="27">
        <f>-2</f>
        <v/>
      </c>
      <c r="E25" s="27">
        <f>$B$35</f>
        <v/>
      </c>
      <c r="F25" s="27">
        <f>B25-(2*(D25^2)-C25*E25)/(2*((D25^2)-C25*E25))*((C25)/(D25))</f>
        <v/>
      </c>
      <c r="G25" s="27">
        <f>ABS((F25-B25)/F25)*100</f>
        <v/>
      </c>
      <c r="H25" s="27">
        <f>IF(G25&lt;0.00001,"SI","NO")</f>
        <v/>
      </c>
    </row>
    <row r="26" ht="15" customHeight="1">
      <c r="A26" s="43" t="n">
        <v>24</v>
      </c>
      <c r="B26" s="43">
        <f>F25</f>
        <v/>
      </c>
      <c r="C26" s="43">
        <f>-5+B26-2*B26</f>
        <v/>
      </c>
      <c r="D26" s="43">
        <f>-2</f>
        <v/>
      </c>
      <c r="E26" s="43">
        <f>$B$35</f>
        <v/>
      </c>
      <c r="F26" s="43">
        <f>B26-(2*(D26^2)-C26*E26)/(2*((D26^2)-C26*E26))*((C26)/(D26))</f>
        <v/>
      </c>
      <c r="G26" s="43">
        <f>ABS((F26-B26)/F26)*100</f>
        <v/>
      </c>
      <c r="H26" s="43">
        <f>IF(G26&lt;0.00001,"SI","NO")</f>
        <v/>
      </c>
    </row>
    <row r="27" ht="17.25" customHeight="1">
      <c r="A27" s="44" t="inlineStr">
        <is>
          <t>MÉTODO DE SUPER HALLEY  —  x3 - 2*x - 5</t>
        </is>
      </c>
    </row>
    <row r="28" ht="15" customHeight="1">
      <c r="A28" s="45" t="inlineStr">
        <is>
          <t>Ecuación:</t>
        </is>
      </c>
      <c r="B28" s="6" t="inlineStr">
        <is>
          <t>x3 - 2*x - 5</t>
        </is>
      </c>
    </row>
    <row r="35">
      <c r="B35" t="n">
        <v>0</v>
      </c>
    </row>
  </sheetData>
  <mergeCells count="1">
    <mergeCell ref="A27:H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2" t="inlineStr">
        <is>
          <t>k</t>
        </is>
      </c>
      <c r="B1" s="12" t="inlineStr">
        <is>
          <t>xₖ</t>
        </is>
      </c>
      <c r="C1" s="12" t="inlineStr">
        <is>
          <t>f(xₖ)</t>
        </is>
      </c>
      <c r="D1" s="12" t="inlineStr">
        <is>
          <t>f'(xₖ)</t>
        </is>
      </c>
      <c r="E1" s="12" t="inlineStr">
        <is>
          <t>f''(xₖ)</t>
        </is>
      </c>
      <c r="F1" s="12" t="inlineStr">
        <is>
          <t>xₖ₊₁</t>
        </is>
      </c>
      <c r="G1" s="12" t="inlineStr">
        <is>
          <t>Error %</t>
        </is>
      </c>
      <c r="H1" s="12" t="inlineStr">
        <is>
          <t>Convergencia</t>
        </is>
      </c>
    </row>
    <row r="3" ht="15" customHeight="1">
      <c r="A3" s="46" t="n">
        <v>0</v>
      </c>
      <c r="B3" s="46" t="n">
        <v>1</v>
      </c>
      <c r="C3" s="46">
        <f>-5+B3-2*B3</f>
        <v/>
      </c>
      <c r="D3" s="46">
        <f>-2</f>
        <v/>
      </c>
      <c r="E3" s="46" t="n">
        <v>0</v>
      </c>
      <c r="F3" s="46">
        <f>B3-(D3/((D3^2-C3*E3)^(1/2)))*(C3/D3)</f>
        <v/>
      </c>
      <c r="G3" s="46">
        <f>ABS((F3-B3)/F3)*100</f>
        <v/>
      </c>
      <c r="H3" s="46">
        <f>IF(G3&lt;0.00001,"SI","NO")</f>
        <v/>
      </c>
    </row>
    <row r="4" ht="15" customHeight="1">
      <c r="A4" s="14" t="n">
        <v>1</v>
      </c>
      <c r="B4" s="14">
        <f>F3</f>
        <v/>
      </c>
      <c r="C4" s="14">
        <f>-5+B4-2*B4</f>
        <v/>
      </c>
      <c r="D4" s="14">
        <f>-2</f>
        <v/>
      </c>
      <c r="E4" s="14" t="n">
        <v>0</v>
      </c>
      <c r="F4" s="14">
        <f>B4-(D4/((D4^2-C4*E4)^(1/2)))*(C4/D4)</f>
        <v/>
      </c>
      <c r="G4" s="14">
        <f>ABS((F4-B4)/F4)*100</f>
        <v/>
      </c>
      <c r="H4" s="14">
        <f>IF(G4&lt;0.00001,"SI","NO")</f>
        <v/>
      </c>
    </row>
    <row r="5" ht="15" customHeight="1">
      <c r="A5" s="46" t="n">
        <v>2</v>
      </c>
      <c r="B5" s="46">
        <f>F4</f>
        <v/>
      </c>
      <c r="C5" s="46">
        <f>-5+B5-2*B5</f>
        <v/>
      </c>
      <c r="D5" s="46">
        <f>-2</f>
        <v/>
      </c>
      <c r="E5" s="46" t="n">
        <v>0</v>
      </c>
      <c r="F5" s="46">
        <f>B5-(D5/((D5^2-C5*E5)^(1/2)))*(C5/D5)</f>
        <v/>
      </c>
      <c r="G5" s="46">
        <f>ABS((F5-B5)/F5)*100</f>
        <v/>
      </c>
      <c r="H5" s="46">
        <f>IF(G5&lt;0.00001,"SI","NO")</f>
        <v/>
      </c>
    </row>
    <row r="6" ht="15" customHeight="1">
      <c r="A6" s="14" t="n">
        <v>3</v>
      </c>
      <c r="B6" s="14">
        <f>F5</f>
        <v/>
      </c>
      <c r="C6" s="14">
        <f>-5+B6-2*B6</f>
        <v/>
      </c>
      <c r="D6" s="14">
        <f>-2</f>
        <v/>
      </c>
      <c r="E6" s="14" t="n">
        <v>0</v>
      </c>
      <c r="F6" s="14">
        <f>B6-(D6/((D6^2-C6*E6)^(1/2)))*(C6/D6)</f>
        <v/>
      </c>
      <c r="G6" s="14">
        <f>ABS((F6-B6)/F6)*100</f>
        <v/>
      </c>
      <c r="H6" s="14">
        <f>IF(G6&lt;0.00001,"SI","NO")</f>
        <v/>
      </c>
    </row>
    <row r="7" ht="15" customHeight="1">
      <c r="A7" s="46" t="n">
        <v>4</v>
      </c>
      <c r="B7" s="46">
        <f>F6</f>
        <v/>
      </c>
      <c r="C7" s="46">
        <f>-5+B7-2*B7</f>
        <v/>
      </c>
      <c r="D7" s="46">
        <f>-2</f>
        <v/>
      </c>
      <c r="E7" s="46" t="n">
        <v>0</v>
      </c>
      <c r="F7" s="46">
        <f>B7-(D7/((D7^2-C7*E7)^(1/2)))*(C7/D7)</f>
        <v/>
      </c>
      <c r="G7" s="46">
        <f>ABS((F7-B7)/F7)*100</f>
        <v/>
      </c>
      <c r="H7" s="46">
        <f>IF(G7&lt;0.00001,"SI","NO")</f>
        <v/>
      </c>
    </row>
    <row r="8" ht="15" customHeight="1">
      <c r="A8" s="14" t="n">
        <v>5</v>
      </c>
      <c r="B8" s="14">
        <f>F7</f>
        <v/>
      </c>
      <c r="C8" s="14">
        <f>-5+B8-2*B8</f>
        <v/>
      </c>
      <c r="D8" s="14">
        <f>-2</f>
        <v/>
      </c>
      <c r="E8" s="14" t="n">
        <v>0</v>
      </c>
      <c r="F8" s="14">
        <f>B8-(D8/((D8^2-C8*E8)^(1/2)))*(C8/D8)</f>
        <v/>
      </c>
      <c r="G8" s="14">
        <f>ABS((F8-B8)/F8)*100</f>
        <v/>
      </c>
      <c r="H8" s="14">
        <f>IF(G8&lt;0.00001,"SI","NO")</f>
        <v/>
      </c>
    </row>
    <row r="9" ht="15" customHeight="1">
      <c r="A9" s="46" t="n">
        <v>6</v>
      </c>
      <c r="B9" s="46">
        <f>F8</f>
        <v/>
      </c>
      <c r="C9" s="46">
        <f>-5+B9-2*B9</f>
        <v/>
      </c>
      <c r="D9" s="46">
        <f>-2</f>
        <v/>
      </c>
      <c r="E9" s="46" t="n">
        <v>0</v>
      </c>
      <c r="F9" s="46">
        <f>B9-(D9/((D9^2-C9*E9)^(1/2)))*(C9/D9)</f>
        <v/>
      </c>
      <c r="G9" s="46">
        <f>ABS((F9-B9)/F9)*100</f>
        <v/>
      </c>
      <c r="H9" s="46">
        <f>IF(G9&lt;0.00001,"SI","NO")</f>
        <v/>
      </c>
    </row>
    <row r="10" ht="15" customHeight="1">
      <c r="A10" s="14" t="n">
        <v>7</v>
      </c>
      <c r="B10" s="14">
        <f>F9</f>
        <v/>
      </c>
      <c r="C10" s="14">
        <f>-5+B10-2*B10</f>
        <v/>
      </c>
      <c r="D10" s="14">
        <f>-2</f>
        <v/>
      </c>
      <c r="E10" s="14" t="n">
        <v>0</v>
      </c>
      <c r="F10" s="14">
        <f>B10-(D10/((D10^2-C10*E10)^(1/2)))*(C10/D10)</f>
        <v/>
      </c>
      <c r="G10" s="14">
        <f>ABS((F10-B10)/F10)*100</f>
        <v/>
      </c>
      <c r="H10" s="14">
        <f>IF(G10&lt;0.00001,"SI","NO")</f>
        <v/>
      </c>
    </row>
    <row r="11" ht="15" customHeight="1">
      <c r="A11" s="46" t="n">
        <v>8</v>
      </c>
      <c r="B11" s="46">
        <f>F10</f>
        <v/>
      </c>
      <c r="C11" s="46">
        <f>-5+B11-2*B11</f>
        <v/>
      </c>
      <c r="D11" s="46">
        <f>-2</f>
        <v/>
      </c>
      <c r="E11" s="46" t="n">
        <v>0</v>
      </c>
      <c r="F11" s="46">
        <f>B11-(D11/((D11^2-C11*E11)^(1/2)))*(C11/D11)</f>
        <v/>
      </c>
      <c r="G11" s="46">
        <f>ABS((F11-B11)/F11)*100</f>
        <v/>
      </c>
      <c r="H11" s="46">
        <f>IF(G11&lt;0.00001,"SI","NO")</f>
        <v/>
      </c>
    </row>
    <row r="12" ht="15" customHeight="1">
      <c r="A12" s="14" t="n">
        <v>9</v>
      </c>
      <c r="B12" s="14">
        <f>F11</f>
        <v/>
      </c>
      <c r="C12" s="14">
        <f>-5+B12-2*B12</f>
        <v/>
      </c>
      <c r="D12" s="14">
        <f>-2</f>
        <v/>
      </c>
      <c r="E12" s="14" t="n">
        <v>0</v>
      </c>
      <c r="F12" s="14">
        <f>B12-(D12/((D12^2-C12*E12)^(1/2)))*(C12/D12)</f>
        <v/>
      </c>
      <c r="G12" s="14">
        <f>ABS((F12-B12)/F12)*100</f>
        <v/>
      </c>
      <c r="H12" s="14">
        <f>IF(G12&lt;0.00001,"SI","NO")</f>
        <v/>
      </c>
    </row>
    <row r="13" ht="15" customHeight="1">
      <c r="A13" s="46" t="n">
        <v>10</v>
      </c>
      <c r="B13" s="46">
        <f>F12</f>
        <v/>
      </c>
      <c r="C13" s="46">
        <f>-5+B13-2*B13</f>
        <v/>
      </c>
      <c r="D13" s="46">
        <f>-2</f>
        <v/>
      </c>
      <c r="E13" s="46" t="n">
        <v>0</v>
      </c>
      <c r="F13" s="46">
        <f>B13-(D13/((D13^2-C13*E13)^(1/2)))*(C13/D13)</f>
        <v/>
      </c>
      <c r="G13" s="46">
        <f>ABS((F13-B13)/F13)*100</f>
        <v/>
      </c>
      <c r="H13" s="46">
        <f>IF(G13&lt;0.00001,"SI","NO")</f>
        <v/>
      </c>
    </row>
    <row r="14" ht="15" customHeight="1">
      <c r="A14" s="14" t="n">
        <v>11</v>
      </c>
      <c r="B14" s="14">
        <f>F13</f>
        <v/>
      </c>
      <c r="C14" s="14">
        <f>-5+B14-2*B14</f>
        <v/>
      </c>
      <c r="D14" s="14">
        <f>-2</f>
        <v/>
      </c>
      <c r="E14" s="14" t="n">
        <v>0</v>
      </c>
      <c r="F14" s="14">
        <f>B14-(D14/((D14^2-C14*E14)^(1/2)))*(C14/D14)</f>
        <v/>
      </c>
      <c r="G14" s="14">
        <f>ABS((F14-B14)/F14)*100</f>
        <v/>
      </c>
      <c r="H14" s="14">
        <f>IF(G14&lt;0.00001,"SI","NO")</f>
        <v/>
      </c>
    </row>
    <row r="15" ht="15" customHeight="1">
      <c r="A15" s="46" t="n">
        <v>12</v>
      </c>
      <c r="B15" s="46">
        <f>F14</f>
        <v/>
      </c>
      <c r="C15" s="46">
        <f>-5+B15-2*B15</f>
        <v/>
      </c>
      <c r="D15" s="46">
        <f>-2</f>
        <v/>
      </c>
      <c r="E15" s="46" t="n">
        <v>0</v>
      </c>
      <c r="F15" s="46">
        <f>B15-(D15/((D15^2-C15*E15)^(1/2)))*(C15/D15)</f>
        <v/>
      </c>
      <c r="G15" s="46">
        <f>ABS((F15-B15)/F15)*100</f>
        <v/>
      </c>
      <c r="H15" s="46">
        <f>IF(G15&lt;0.00001,"SI","NO")</f>
        <v/>
      </c>
    </row>
    <row r="16" ht="15" customHeight="1">
      <c r="A16" s="14" t="n">
        <v>13</v>
      </c>
      <c r="B16" s="14">
        <f>F15</f>
        <v/>
      </c>
      <c r="C16" s="14">
        <f>-5+B16-2*B16</f>
        <v/>
      </c>
      <c r="D16" s="14">
        <f>-2</f>
        <v/>
      </c>
      <c r="E16" s="14" t="n">
        <v>0</v>
      </c>
      <c r="F16" s="14">
        <f>B16-(D16/((D16^2-C16*E16)^(1/2)))*(C16/D16)</f>
        <v/>
      </c>
      <c r="G16" s="14">
        <f>ABS((F16-B16)/F16)*100</f>
        <v/>
      </c>
      <c r="H16" s="14">
        <f>IF(G16&lt;0.00001,"SI","NO")</f>
        <v/>
      </c>
    </row>
    <row r="17" ht="15" customHeight="1">
      <c r="A17" s="46" t="n">
        <v>14</v>
      </c>
      <c r="B17" s="46">
        <f>F16</f>
        <v/>
      </c>
      <c r="C17" s="46">
        <f>-5+B17-2*B17</f>
        <v/>
      </c>
      <c r="D17" s="46">
        <f>-2</f>
        <v/>
      </c>
      <c r="E17" s="46" t="n">
        <v>0</v>
      </c>
      <c r="F17" s="46">
        <f>B17-(D17/((D17^2-C17*E17)^(1/2)))*(C17/D17)</f>
        <v/>
      </c>
      <c r="G17" s="46">
        <f>ABS((F17-B17)/F17)*100</f>
        <v/>
      </c>
      <c r="H17" s="46">
        <f>IF(G17&lt;0.00001,"SI","NO")</f>
        <v/>
      </c>
    </row>
    <row r="18" ht="15" customHeight="1">
      <c r="A18" s="14" t="n">
        <v>15</v>
      </c>
      <c r="B18" s="14">
        <f>F17</f>
        <v/>
      </c>
      <c r="C18" s="14">
        <f>-5+B18-2*B18</f>
        <v/>
      </c>
      <c r="D18" s="14">
        <f>-2</f>
        <v/>
      </c>
      <c r="E18" s="14" t="n">
        <v>0</v>
      </c>
      <c r="F18" s="14">
        <f>B18-(D18/((D18^2-C18*E18)^(1/2)))*(C18/D18)</f>
        <v/>
      </c>
      <c r="G18" s="14">
        <f>ABS((F18-B18)/F18)*100</f>
        <v/>
      </c>
      <c r="H18" s="14">
        <f>IF(G18&lt;0.00001,"SI","NO")</f>
        <v/>
      </c>
    </row>
    <row r="19" ht="15" customHeight="1">
      <c r="A19" s="46" t="n">
        <v>16</v>
      </c>
      <c r="B19" s="46">
        <f>F18</f>
        <v/>
      </c>
      <c r="C19" s="46">
        <f>-5+B19-2*B19</f>
        <v/>
      </c>
      <c r="D19" s="46">
        <f>-2</f>
        <v/>
      </c>
      <c r="E19" s="46" t="n">
        <v>0</v>
      </c>
      <c r="F19" s="46">
        <f>B19-(D19/((D19^2-C19*E19)^(1/2)))*(C19/D19)</f>
        <v/>
      </c>
      <c r="G19" s="46">
        <f>ABS((F19-B19)/F19)*100</f>
        <v/>
      </c>
      <c r="H19" s="46">
        <f>IF(G19&lt;0.00001,"SI","NO")</f>
        <v/>
      </c>
    </row>
    <row r="20" ht="15" customHeight="1">
      <c r="A20" s="14" t="n">
        <v>17</v>
      </c>
      <c r="B20" s="14">
        <f>F19</f>
        <v/>
      </c>
      <c r="C20" s="14">
        <f>-5+B20-2*B20</f>
        <v/>
      </c>
      <c r="D20" s="14">
        <f>-2</f>
        <v/>
      </c>
      <c r="E20" s="14" t="n">
        <v>0</v>
      </c>
      <c r="F20" s="14">
        <f>B20-(D20/((D20^2-C20*E20)^(1/2)))*(C20/D20)</f>
        <v/>
      </c>
      <c r="G20" s="14">
        <f>ABS((F20-B20)/F20)*100</f>
        <v/>
      </c>
      <c r="H20" s="14">
        <f>IF(G20&lt;0.00001,"SI","NO")</f>
        <v/>
      </c>
    </row>
    <row r="21" ht="15" customHeight="1">
      <c r="A21" s="46" t="n">
        <v>18</v>
      </c>
      <c r="B21" s="46">
        <f>F20</f>
        <v/>
      </c>
      <c r="C21" s="46">
        <f>-5+B21-2*B21</f>
        <v/>
      </c>
      <c r="D21" s="46">
        <f>-2</f>
        <v/>
      </c>
      <c r="E21" s="46" t="n">
        <v>0</v>
      </c>
      <c r="F21" s="46">
        <f>B21-(D21/((D21^2-C21*E21)^(1/2)))*(C21/D21)</f>
        <v/>
      </c>
      <c r="G21" s="46">
        <f>ABS((F21-B21)/F21)*100</f>
        <v/>
      </c>
      <c r="H21" s="46">
        <f>IF(G21&lt;0.00001,"SI","NO")</f>
        <v/>
      </c>
    </row>
    <row r="22" ht="15" customHeight="1">
      <c r="A22" s="14" t="n">
        <v>19</v>
      </c>
      <c r="B22" s="14">
        <f>F21</f>
        <v/>
      </c>
      <c r="C22" s="14">
        <f>-5+B22-2*B22</f>
        <v/>
      </c>
      <c r="D22" s="14">
        <f>-2</f>
        <v/>
      </c>
      <c r="E22" s="14" t="n">
        <v>0</v>
      </c>
      <c r="F22" s="14">
        <f>B22-(D22/((D22^2-C22*E22)^(1/2)))*(C22/D22)</f>
        <v/>
      </c>
      <c r="G22" s="14">
        <f>ABS((F22-B22)/F22)*100</f>
        <v/>
      </c>
      <c r="H22" s="14">
        <f>IF(G22&lt;0.00001,"SI","NO")</f>
        <v/>
      </c>
    </row>
    <row r="23" ht="15" customHeight="1">
      <c r="A23" s="46" t="n">
        <v>20</v>
      </c>
      <c r="B23" s="46">
        <f>F22</f>
        <v/>
      </c>
      <c r="C23" s="46">
        <f>-5+B23-2*B23</f>
        <v/>
      </c>
      <c r="D23" s="46">
        <f>-2</f>
        <v/>
      </c>
      <c r="E23" s="46" t="n">
        <v>0</v>
      </c>
      <c r="F23" s="46">
        <f>B23-(D23/((D23^2-C23*E23)^(1/2)))*(C23/D23)</f>
        <v/>
      </c>
      <c r="G23" s="46">
        <f>ABS((F23-B23)/F23)*100</f>
        <v/>
      </c>
      <c r="H23" s="46">
        <f>IF(G23&lt;0.00001,"SI","NO")</f>
        <v/>
      </c>
    </row>
    <row r="24" ht="15" customHeight="1">
      <c r="A24" s="14" t="n">
        <v>21</v>
      </c>
      <c r="B24" s="14">
        <f>F23</f>
        <v/>
      </c>
      <c r="C24" s="14">
        <f>-5+B24-2*B24</f>
        <v/>
      </c>
      <c r="D24" s="14">
        <f>-2</f>
        <v/>
      </c>
      <c r="E24" s="14" t="n">
        <v>0</v>
      </c>
      <c r="F24" s="14">
        <f>B24-(D24/((D24^2-C24*E24)^(1/2)))*(C24/D24)</f>
        <v/>
      </c>
      <c r="G24" s="14">
        <f>ABS((F24-B24)/F24)*100</f>
        <v/>
      </c>
      <c r="H24" s="14">
        <f>IF(G24&lt;0.00001,"SI","NO")</f>
        <v/>
      </c>
    </row>
    <row r="25" ht="15" customHeight="1">
      <c r="A25" s="46" t="n">
        <v>22</v>
      </c>
      <c r="B25" s="46">
        <f>F24</f>
        <v/>
      </c>
      <c r="C25" s="46">
        <f>-5+B25-2*B25</f>
        <v/>
      </c>
      <c r="D25" s="46">
        <f>-2</f>
        <v/>
      </c>
      <c r="E25" s="46" t="n">
        <v>0</v>
      </c>
      <c r="F25" s="46">
        <f>B25-(D25/((D25^2-C25*E25)^(1/2)))*(C25/D25)</f>
        <v/>
      </c>
      <c r="G25" s="46">
        <f>ABS((F25-B25)/F25)*100</f>
        <v/>
      </c>
      <c r="H25" s="46">
        <f>IF(G25&lt;0.00001,"SI","NO")</f>
        <v/>
      </c>
    </row>
    <row r="26" ht="15" customHeight="1">
      <c r="A26" s="14" t="n">
        <v>23</v>
      </c>
      <c r="B26" s="14">
        <f>F25</f>
        <v/>
      </c>
      <c r="C26" s="14">
        <f>-5+B26-2*B26</f>
        <v/>
      </c>
      <c r="D26" s="14">
        <f>-2</f>
        <v/>
      </c>
      <c r="E26" s="14" t="n">
        <v>0</v>
      </c>
      <c r="F26" s="14">
        <f>B26-(D26/((D26^2-C26*E26)^(1/2)))*(C26/D26)</f>
        <v/>
      </c>
      <c r="G26" s="14">
        <f>ABS((F26-B26)/F26)*100</f>
        <v/>
      </c>
      <c r="H26" s="14">
        <f>IF(G26&lt;0.00001,"SI","NO")</f>
        <v/>
      </c>
    </row>
    <row r="27" ht="15" customHeight="1">
      <c r="A27" s="46" t="n">
        <v>24</v>
      </c>
      <c r="B27" s="46">
        <f>F26</f>
        <v/>
      </c>
      <c r="C27" s="46">
        <f>-5+B27-2*B27</f>
        <v/>
      </c>
      <c r="D27" s="46">
        <f>-2</f>
        <v/>
      </c>
      <c r="E27" s="46" t="n">
        <v>0</v>
      </c>
      <c r="F27" s="46">
        <f>B27-(D27/((D27^2-C27*E27)^(1/2)))*(C27/D27)</f>
        <v/>
      </c>
      <c r="G27" s="46">
        <f>ABS((F27-B27)/F27)*100</f>
        <v/>
      </c>
      <c r="H27" s="46">
        <f>IF(G27&lt;0.00001,"SI","NO")</f>
        <v/>
      </c>
    </row>
    <row r="28" ht="17.25" customHeight="1">
      <c r="A28" s="47" t="inlineStr">
        <is>
          <t>MÉTODO DE OSTROWSKY  —  x3 - 2*x - 5</t>
        </is>
      </c>
    </row>
    <row r="29" ht="15" customHeight="1">
      <c r="A29" s="48" t="inlineStr">
        <is>
          <t>Ecuación:</t>
        </is>
      </c>
      <c r="B29" s="6" t="inlineStr">
        <is>
          <t>x3 - 2*x - 5</t>
        </is>
      </c>
    </row>
  </sheetData>
  <mergeCells count="1">
    <mergeCell ref="A28:H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7" t="inlineStr">
        <is>
          <t>k</t>
        </is>
      </c>
      <c r="B1" s="17" t="inlineStr">
        <is>
          <t>xₖ</t>
        </is>
      </c>
      <c r="C1" s="17" t="inlineStr">
        <is>
          <t>f(xₖ)</t>
        </is>
      </c>
      <c r="D1" s="17" t="inlineStr">
        <is>
          <t>xₖ₋₁</t>
        </is>
      </c>
      <c r="E1" s="17" t="inlineStr">
        <is>
          <t>f(xₖ₋₁)</t>
        </is>
      </c>
      <c r="F1" s="17" t="inlineStr">
        <is>
          <t>xₖ₊₁</t>
        </is>
      </c>
      <c r="G1" s="17" t="inlineStr">
        <is>
          <t>Error %</t>
        </is>
      </c>
      <c r="H1" s="17" t="inlineStr">
        <is>
          <t>Convergencia</t>
        </is>
      </c>
    </row>
    <row r="2" ht="15" customHeight="1">
      <c r="A2" s="18" t="n">
        <v>0</v>
      </c>
      <c r="B2" s="18" t="n">
        <v>1</v>
      </c>
      <c r="C2" s="18">
        <f>-5+B2-2*B2</f>
        <v/>
      </c>
      <c r="D2" s="18" t="inlineStr"/>
      <c r="E2" s="18" t="inlineStr"/>
      <c r="F2" s="18" t="inlineStr"/>
      <c r="G2" s="18" t="inlineStr"/>
      <c r="H2" s="18" t="inlineStr"/>
    </row>
    <row r="3" ht="15" customHeight="1">
      <c r="A3" s="19" t="n">
        <v>1</v>
      </c>
      <c r="B3" s="19" t="n">
        <v>2</v>
      </c>
      <c r="C3" s="19">
        <f>-5+B3-2*B3</f>
        <v/>
      </c>
      <c r="D3" s="19">
        <f>B2</f>
        <v/>
      </c>
      <c r="E3" s="19">
        <f>C2</f>
        <v/>
      </c>
      <c r="F3" s="19">
        <f>B3-(C3*(B3-D3)/(C3-E3))</f>
        <v/>
      </c>
      <c r="G3" s="19">
        <f>IFERROR(ABS((F3-B3)/F3)*100,0)</f>
        <v/>
      </c>
      <c r="H3" s="19">
        <f>IF(IFERROR(G3,0)&lt;0.00001,"SI","NO")</f>
        <v/>
      </c>
    </row>
    <row r="4" ht="15" customHeight="1">
      <c r="A4" s="18" t="n">
        <v>2</v>
      </c>
      <c r="B4" s="18">
        <f>IFERROR(F3,B3)</f>
        <v/>
      </c>
      <c r="C4" s="18">
        <f>IFERROR(-5+B4-2*B4,0)</f>
        <v/>
      </c>
      <c r="D4" s="18">
        <f>IFERROR(B3,B3)</f>
        <v/>
      </c>
      <c r="E4" s="18">
        <f>IFERROR(C3,0)</f>
        <v/>
      </c>
      <c r="F4" s="18">
        <f>IFERROR(B4-(C4*(B4-D4)/(C4-E4)),B4)</f>
        <v/>
      </c>
      <c r="G4" s="18">
        <f>IFERROR(ABS((F4-B4)/F4)*100,0)</f>
        <v/>
      </c>
      <c r="H4" s="18">
        <f>IF(IFERROR(G4,0)&lt;0.00001,"SI","NO")</f>
        <v/>
      </c>
    </row>
    <row r="5" ht="15" customHeight="1">
      <c r="A5" s="19" t="n">
        <v>3</v>
      </c>
      <c r="B5" s="19">
        <f>IFERROR(F4,B4)</f>
        <v/>
      </c>
      <c r="C5" s="19">
        <f>IFERROR(-5+B5-2*B5,0)</f>
        <v/>
      </c>
      <c r="D5" s="19">
        <f>IFERROR(B4,B4)</f>
        <v/>
      </c>
      <c r="E5" s="19">
        <f>IFERROR(C4,0)</f>
        <v/>
      </c>
      <c r="F5" s="19">
        <f>IFERROR(B5-(C5*(B5-D5)/(C5-E5)),B5)</f>
        <v/>
      </c>
      <c r="G5" s="19">
        <f>IFERROR(ABS((F5-B5)/F5)*100,0)</f>
        <v/>
      </c>
      <c r="H5" s="19">
        <f>IF(IFERROR(G5,0)&lt;0.00001,"SI","NO")</f>
        <v/>
      </c>
    </row>
    <row r="6" ht="15" customHeight="1">
      <c r="A6" s="18" t="n">
        <v>4</v>
      </c>
      <c r="B6" s="18">
        <f>IFERROR(F5,B5)</f>
        <v/>
      </c>
      <c r="C6" s="18">
        <f>IFERROR(-5+B6-2*B6,0)</f>
        <v/>
      </c>
      <c r="D6" s="18">
        <f>IFERROR(B5,B5)</f>
        <v/>
      </c>
      <c r="E6" s="18">
        <f>IFERROR(C5,0)</f>
        <v/>
      </c>
      <c r="F6" s="18">
        <f>IFERROR(B6-(C6*(B6-D6)/(C6-E6)),B6)</f>
        <v/>
      </c>
      <c r="G6" s="18">
        <f>IFERROR(ABS((F6-B6)/F6)*100,0)</f>
        <v/>
      </c>
      <c r="H6" s="18">
        <f>IF(IFERROR(G6,0)&lt;0.00001,"SI","NO")</f>
        <v/>
      </c>
    </row>
    <row r="7" ht="15" customHeight="1">
      <c r="A7" s="19" t="n">
        <v>5</v>
      </c>
      <c r="B7" s="19">
        <f>IFERROR(F6,B6)</f>
        <v/>
      </c>
      <c r="C7" s="19">
        <f>IFERROR(-5+B7-2*B7,0)</f>
        <v/>
      </c>
      <c r="D7" s="19">
        <f>IFERROR(B6,B6)</f>
        <v/>
      </c>
      <c r="E7" s="19">
        <f>IFERROR(C6,0)</f>
        <v/>
      </c>
      <c r="F7" s="19">
        <f>IFERROR(B7-(C7*(B7-D7)/(C7-E7)),B7)</f>
        <v/>
      </c>
      <c r="G7" s="19">
        <f>IFERROR(ABS((F7-B7)/F7)*100,0)</f>
        <v/>
      </c>
      <c r="H7" s="19">
        <f>IF(IFERROR(G7,0)&lt;0.00001,"SI","NO")</f>
        <v/>
      </c>
    </row>
    <row r="8" ht="15" customHeight="1">
      <c r="A8" s="18" t="n">
        <v>6</v>
      </c>
      <c r="B8" s="18">
        <f>IFERROR(F7,B7)</f>
        <v/>
      </c>
      <c r="C8" s="18">
        <f>IFERROR(-5+B8-2*B8,0)</f>
        <v/>
      </c>
      <c r="D8" s="18">
        <f>IFERROR(B7,B7)</f>
        <v/>
      </c>
      <c r="E8" s="18">
        <f>IFERROR(C7,0)</f>
        <v/>
      </c>
      <c r="F8" s="18">
        <f>IFERROR(B8-(C8*(B8-D8)/(C8-E8)),B8)</f>
        <v/>
      </c>
      <c r="G8" s="18">
        <f>IFERROR(ABS((F8-B8)/F8)*100,0)</f>
        <v/>
      </c>
      <c r="H8" s="18">
        <f>IF(IFERROR(G8,0)&lt;0.00001,"SI","NO")</f>
        <v/>
      </c>
    </row>
    <row r="9" ht="15" customHeight="1">
      <c r="A9" s="19" t="n">
        <v>7</v>
      </c>
      <c r="B9" s="19">
        <f>IFERROR(F8,B8)</f>
        <v/>
      </c>
      <c r="C9" s="19">
        <f>IFERROR(-5+B9-2*B9,0)</f>
        <v/>
      </c>
      <c r="D9" s="19">
        <f>IFERROR(B8,B8)</f>
        <v/>
      </c>
      <c r="E9" s="19">
        <f>IFERROR(C8,0)</f>
        <v/>
      </c>
      <c r="F9" s="19">
        <f>IFERROR(B9-(C9*(B9-D9)/(C9-E9)),B9)</f>
        <v/>
      </c>
      <c r="G9" s="19">
        <f>IFERROR(ABS((F9-B9)/F9)*100,0)</f>
        <v/>
      </c>
      <c r="H9" s="19">
        <f>IF(IFERROR(G9,0)&lt;0.00001,"SI","NO")</f>
        <v/>
      </c>
    </row>
    <row r="10" ht="15" customHeight="1">
      <c r="A10" s="18" t="n">
        <v>8</v>
      </c>
      <c r="B10" s="18">
        <f>IFERROR(F9,B9)</f>
        <v/>
      </c>
      <c r="C10" s="18">
        <f>IFERROR(-5+B10-2*B10,0)</f>
        <v/>
      </c>
      <c r="D10" s="18">
        <f>IFERROR(B9,B9)</f>
        <v/>
      </c>
      <c r="E10" s="18">
        <f>IFERROR(C9,0)</f>
        <v/>
      </c>
      <c r="F10" s="18">
        <f>IFERROR(B10-(C10*(B10-D10)/(C10-E10)),B10)</f>
        <v/>
      </c>
      <c r="G10" s="18">
        <f>IFERROR(ABS((F10-B10)/F10)*100,0)</f>
        <v/>
      </c>
      <c r="H10" s="18">
        <f>IF(IFERROR(G10,0)&lt;0.00001,"SI","NO")</f>
        <v/>
      </c>
    </row>
    <row r="11" ht="15" customHeight="1">
      <c r="A11" s="19" t="n">
        <v>9</v>
      </c>
      <c r="B11" s="19">
        <f>IFERROR(F10,B10)</f>
        <v/>
      </c>
      <c r="C11" s="19">
        <f>IFERROR(-5+B11-2*B11,0)</f>
        <v/>
      </c>
      <c r="D11" s="19">
        <f>IFERROR(B10,B10)</f>
        <v/>
      </c>
      <c r="E11" s="19">
        <f>IFERROR(C10,0)</f>
        <v/>
      </c>
      <c r="F11" s="19">
        <f>IFERROR(B11-(C11*(B11-D11)/(C11-E11)),B11)</f>
        <v/>
      </c>
      <c r="G11" s="19">
        <f>IFERROR(ABS((F11-B11)/F11)*100,0)</f>
        <v/>
      </c>
      <c r="H11" s="19">
        <f>IF(IFERROR(G11,0)&lt;0.00001,"SI","NO")</f>
        <v/>
      </c>
    </row>
    <row r="12" ht="15" customHeight="1">
      <c r="A12" s="18" t="n">
        <v>10</v>
      </c>
      <c r="B12" s="18">
        <f>IFERROR(F11,B11)</f>
        <v/>
      </c>
      <c r="C12" s="18">
        <f>IFERROR(-5+B12-2*B12,0)</f>
        <v/>
      </c>
      <c r="D12" s="18">
        <f>IFERROR(B11,B11)</f>
        <v/>
      </c>
      <c r="E12" s="18">
        <f>IFERROR(C11,0)</f>
        <v/>
      </c>
      <c r="F12" s="18">
        <f>IFERROR(B12-(C12*(B12-D12)/(C12-E12)),B12)</f>
        <v/>
      </c>
      <c r="G12" s="18">
        <f>IFERROR(ABS((F12-B12)/F12)*100,0)</f>
        <v/>
      </c>
      <c r="H12" s="18">
        <f>IF(IFERROR(G12,0)&lt;0.00001,"SI","NO")</f>
        <v/>
      </c>
    </row>
    <row r="13" ht="15" customHeight="1">
      <c r="A13" s="19" t="n">
        <v>11</v>
      </c>
      <c r="B13" s="19">
        <f>IFERROR(F12,B12)</f>
        <v/>
      </c>
      <c r="C13" s="19">
        <f>IFERROR(-5+B13-2*B13,0)</f>
        <v/>
      </c>
      <c r="D13" s="19">
        <f>IFERROR(B12,B12)</f>
        <v/>
      </c>
      <c r="E13" s="19">
        <f>IFERROR(C12,0)</f>
        <v/>
      </c>
      <c r="F13" s="19">
        <f>IFERROR(B13-(C13*(B13-D13)/(C13-E13)),B13)</f>
        <v/>
      </c>
      <c r="G13" s="19">
        <f>IFERROR(ABS((F13-B13)/F13)*100,0)</f>
        <v/>
      </c>
      <c r="H13" s="19">
        <f>IF(IFERROR(G13,0)&lt;0.00001,"SI","NO")</f>
        <v/>
      </c>
    </row>
    <row r="14" ht="15" customHeight="1">
      <c r="A14" s="18" t="n">
        <v>12</v>
      </c>
      <c r="B14" s="18">
        <f>IFERROR(F13,B13)</f>
        <v/>
      </c>
      <c r="C14" s="18">
        <f>IFERROR(-5+B14-2*B14,0)</f>
        <v/>
      </c>
      <c r="D14" s="18">
        <f>IFERROR(B13,B13)</f>
        <v/>
      </c>
      <c r="E14" s="18">
        <f>IFERROR(C13,0)</f>
        <v/>
      </c>
      <c r="F14" s="18">
        <f>IFERROR(B14-(C14*(B14-D14)/(C14-E14)),B14)</f>
        <v/>
      </c>
      <c r="G14" s="18">
        <f>IFERROR(ABS((F14-B14)/F14)*100,0)</f>
        <v/>
      </c>
      <c r="H14" s="18">
        <f>IF(IFERROR(G14,0)&lt;0.00001,"SI","NO")</f>
        <v/>
      </c>
    </row>
    <row r="15" ht="15" customHeight="1">
      <c r="A15" s="19" t="n">
        <v>13</v>
      </c>
      <c r="B15" s="19">
        <f>IFERROR(F14,B14)</f>
        <v/>
      </c>
      <c r="C15" s="19">
        <f>IFERROR(-5+B15-2*B15,0)</f>
        <v/>
      </c>
      <c r="D15" s="19">
        <f>IFERROR(B14,B14)</f>
        <v/>
      </c>
      <c r="E15" s="19">
        <f>IFERROR(C14,0)</f>
        <v/>
      </c>
      <c r="F15" s="19">
        <f>IFERROR(B15-(C15*(B15-D15)/(C15-E15)),B15)</f>
        <v/>
      </c>
      <c r="G15" s="19">
        <f>IFERROR(ABS((F15-B15)/F15)*100,0)</f>
        <v/>
      </c>
      <c r="H15" s="19">
        <f>IF(IFERROR(G15,0)&lt;0.00001,"SI","NO")</f>
        <v/>
      </c>
    </row>
    <row r="16" ht="15" customHeight="1">
      <c r="A16" s="18" t="n">
        <v>14</v>
      </c>
      <c r="B16" s="18">
        <f>IFERROR(F15,B15)</f>
        <v/>
      </c>
      <c r="C16" s="18">
        <f>IFERROR(-5+B16-2*B16,0)</f>
        <v/>
      </c>
      <c r="D16" s="18">
        <f>IFERROR(B15,B15)</f>
        <v/>
      </c>
      <c r="E16" s="18">
        <f>IFERROR(C15,0)</f>
        <v/>
      </c>
      <c r="F16" s="18">
        <f>IFERROR(B16-(C16*(B16-D16)/(C16-E16)),B16)</f>
        <v/>
      </c>
      <c r="G16" s="18">
        <f>IFERROR(ABS((F16-B16)/F16)*100,0)</f>
        <v/>
      </c>
      <c r="H16" s="18">
        <f>IF(IFERROR(G16,0)&lt;0.00001,"SI","NO")</f>
        <v/>
      </c>
    </row>
    <row r="17" ht="15" customHeight="1">
      <c r="A17" s="19" t="n">
        <v>15</v>
      </c>
      <c r="B17" s="19">
        <f>IFERROR(F16,B16)</f>
        <v/>
      </c>
      <c r="C17" s="19">
        <f>IFERROR(-5+B17-2*B17,0)</f>
        <v/>
      </c>
      <c r="D17" s="19">
        <f>IFERROR(B16,B16)</f>
        <v/>
      </c>
      <c r="E17" s="19">
        <f>IFERROR(C16,0)</f>
        <v/>
      </c>
      <c r="F17" s="19">
        <f>IFERROR(B17-(C17*(B17-D17)/(C17-E17)),B17)</f>
        <v/>
      </c>
      <c r="G17" s="19">
        <f>IFERROR(ABS((F17-B17)/F17)*100,0)</f>
        <v/>
      </c>
      <c r="H17" s="19">
        <f>IF(IFERROR(G17,0)&lt;0.00001,"SI","NO")</f>
        <v/>
      </c>
    </row>
    <row r="18" ht="15" customHeight="1">
      <c r="A18" s="18" t="n">
        <v>16</v>
      </c>
      <c r="B18" s="18">
        <f>IFERROR(F17,B17)</f>
        <v/>
      </c>
      <c r="C18" s="18">
        <f>IFERROR(-5+B18-2*B18,0)</f>
        <v/>
      </c>
      <c r="D18" s="18">
        <f>IFERROR(B17,B17)</f>
        <v/>
      </c>
      <c r="E18" s="18">
        <f>IFERROR(C17,0)</f>
        <v/>
      </c>
      <c r="F18" s="18">
        <f>IFERROR(B18-(C18*(B18-D18)/(C18-E18)),B18)</f>
        <v/>
      </c>
      <c r="G18" s="18">
        <f>IFERROR(ABS((F18-B18)/F18)*100,0)</f>
        <v/>
      </c>
      <c r="H18" s="18">
        <f>IF(IFERROR(G18,0)&lt;0.00001,"SI","NO")</f>
        <v/>
      </c>
    </row>
    <row r="19" ht="15" customHeight="1">
      <c r="A19" s="19" t="n">
        <v>17</v>
      </c>
      <c r="B19" s="19">
        <f>IFERROR(F18,B18)</f>
        <v/>
      </c>
      <c r="C19" s="19">
        <f>IFERROR(-5+B19-2*B19,0)</f>
        <v/>
      </c>
      <c r="D19" s="19">
        <f>IFERROR(B18,B18)</f>
        <v/>
      </c>
      <c r="E19" s="19">
        <f>IFERROR(C18,0)</f>
        <v/>
      </c>
      <c r="F19" s="19">
        <f>IFERROR(B19-(C19*(B19-D19)/(C19-E19)),B19)</f>
        <v/>
      </c>
      <c r="G19" s="19">
        <f>IFERROR(ABS((F19-B19)/F19)*100,0)</f>
        <v/>
      </c>
      <c r="H19" s="19">
        <f>IF(IFERROR(G19,0)&lt;0.00001,"SI","NO")</f>
        <v/>
      </c>
    </row>
    <row r="20" ht="15" customHeight="1">
      <c r="A20" s="18" t="n">
        <v>18</v>
      </c>
      <c r="B20" s="18">
        <f>IFERROR(F19,B19)</f>
        <v/>
      </c>
      <c r="C20" s="18">
        <f>IFERROR(-5+B20-2*B20,0)</f>
        <v/>
      </c>
      <c r="D20" s="18">
        <f>IFERROR(B19,B19)</f>
        <v/>
      </c>
      <c r="E20" s="18">
        <f>IFERROR(C19,0)</f>
        <v/>
      </c>
      <c r="F20" s="18">
        <f>IFERROR(B20-(C20*(B20-D20)/(C20-E20)),B20)</f>
        <v/>
      </c>
      <c r="G20" s="18">
        <f>IFERROR(ABS((F20-B20)/F20)*100,0)</f>
        <v/>
      </c>
      <c r="H20" s="18">
        <f>IF(IFERROR(G20,0)&lt;0.00001,"SI","NO")</f>
        <v/>
      </c>
    </row>
    <row r="21" ht="15" customHeight="1">
      <c r="A21" s="19" t="n">
        <v>19</v>
      </c>
      <c r="B21" s="19">
        <f>IFERROR(F20,B20)</f>
        <v/>
      </c>
      <c r="C21" s="19">
        <f>IFERROR(-5+B21-2*B21,0)</f>
        <v/>
      </c>
      <c r="D21" s="19">
        <f>IFERROR(B20,B20)</f>
        <v/>
      </c>
      <c r="E21" s="19">
        <f>IFERROR(C20,0)</f>
        <v/>
      </c>
      <c r="F21" s="19">
        <f>IFERROR(B21-(C21*(B21-D21)/(C21-E21)),B21)</f>
        <v/>
      </c>
      <c r="G21" s="19">
        <f>IFERROR(ABS((F21-B21)/F21)*100,0)</f>
        <v/>
      </c>
      <c r="H21" s="19">
        <f>IF(IFERROR(G21,0)&lt;0.00001,"SI","NO")</f>
        <v/>
      </c>
    </row>
    <row r="22" ht="15" customHeight="1">
      <c r="A22" s="18" t="n">
        <v>20</v>
      </c>
      <c r="B22" s="18">
        <f>IFERROR(F21,B21)</f>
        <v/>
      </c>
      <c r="C22" s="18">
        <f>IFERROR(-5+B22-2*B22,0)</f>
        <v/>
      </c>
      <c r="D22" s="18">
        <f>IFERROR(B21,B21)</f>
        <v/>
      </c>
      <c r="E22" s="18">
        <f>IFERROR(C21,0)</f>
        <v/>
      </c>
      <c r="F22" s="18">
        <f>IFERROR(B22-(C22*(B22-D22)/(C22-E22)),B22)</f>
        <v/>
      </c>
      <c r="G22" s="18">
        <f>IFERROR(ABS((F22-B22)/F22)*100,0)</f>
        <v/>
      </c>
      <c r="H22" s="18">
        <f>IF(IFERROR(G22,0)&lt;0.00001,"SI","NO")</f>
        <v/>
      </c>
    </row>
    <row r="23" ht="15" customHeight="1">
      <c r="A23" s="19" t="n">
        <v>21</v>
      </c>
      <c r="B23" s="19">
        <f>IFERROR(F22,B22)</f>
        <v/>
      </c>
      <c r="C23" s="19">
        <f>IFERROR(-5+B23-2*B23,0)</f>
        <v/>
      </c>
      <c r="D23" s="19">
        <f>IFERROR(B22,B22)</f>
        <v/>
      </c>
      <c r="E23" s="19">
        <f>IFERROR(C22,0)</f>
        <v/>
      </c>
      <c r="F23" s="19">
        <f>IFERROR(B23-(C23*(B23-D23)/(C23-E23)),B23)</f>
        <v/>
      </c>
      <c r="G23" s="19">
        <f>IFERROR(ABS((F23-B23)/F23)*100,0)</f>
        <v/>
      </c>
      <c r="H23" s="19">
        <f>IF(IFERROR(G23,0)&lt;0.00001,"SI","NO")</f>
        <v/>
      </c>
    </row>
    <row r="24" ht="15" customHeight="1">
      <c r="A24" s="18" t="n">
        <v>22</v>
      </c>
      <c r="B24" s="18">
        <f>IFERROR(F23,B23)</f>
        <v/>
      </c>
      <c r="C24" s="18">
        <f>IFERROR(-5+B24-2*B24,0)</f>
        <v/>
      </c>
      <c r="D24" s="18">
        <f>IFERROR(B23,B23)</f>
        <v/>
      </c>
      <c r="E24" s="18">
        <f>IFERROR(C23,0)</f>
        <v/>
      </c>
      <c r="F24" s="18">
        <f>IFERROR(B24-(C24*(B24-D24)/(C24-E24)),B24)</f>
        <v/>
      </c>
      <c r="G24" s="18">
        <f>IFERROR(ABS((F24-B24)/F24)*100,0)</f>
        <v/>
      </c>
      <c r="H24" s="18">
        <f>IF(IFERROR(G24,0)&lt;0.00001,"SI","NO")</f>
        <v/>
      </c>
    </row>
    <row r="25" ht="15" customHeight="1">
      <c r="A25" s="19" t="n">
        <v>23</v>
      </c>
      <c r="B25" s="19">
        <f>IFERROR(F24,B24)</f>
        <v/>
      </c>
      <c r="C25" s="19">
        <f>IFERROR(-5+B25-2*B25,0)</f>
        <v/>
      </c>
      <c r="D25" s="19">
        <f>IFERROR(B24,B24)</f>
        <v/>
      </c>
      <c r="E25" s="19">
        <f>IFERROR(C24,0)</f>
        <v/>
      </c>
      <c r="F25" s="19">
        <f>IFERROR(B25-(C25*(B25-D25)/(C25-E25)),B25)</f>
        <v/>
      </c>
      <c r="G25" s="19">
        <f>IFERROR(ABS((F25-B25)/F25)*100,0)</f>
        <v/>
      </c>
      <c r="H25" s="19">
        <f>IF(IFERROR(G25,0)&lt;0.00001,"SI","NO")</f>
        <v/>
      </c>
    </row>
    <row r="26" ht="15" customHeight="1">
      <c r="A26" s="18" t="n">
        <v>24</v>
      </c>
      <c r="B26" s="18">
        <f>IFERROR(F25,B25)</f>
        <v/>
      </c>
      <c r="C26" s="18">
        <f>IFERROR(-5+B26-2*B26,0)</f>
        <v/>
      </c>
      <c r="D26" s="18">
        <f>IFERROR(B25,B25)</f>
        <v/>
      </c>
      <c r="E26" s="18">
        <f>IFERROR(C25,0)</f>
        <v/>
      </c>
      <c r="F26" s="18">
        <f>IFERROR(B26-(C26*(B26-D26)/(C26-E26)),B26)</f>
        <v/>
      </c>
      <c r="G26" s="18">
        <f>IFERROR(ABS((F26-B26)/F26)*100,0)</f>
        <v/>
      </c>
      <c r="H26" s="18">
        <f>IF(IFERROR(G26,0)&lt;0.00001,"SI","NO")</f>
        <v/>
      </c>
    </row>
    <row r="27" ht="15" customHeight="1">
      <c r="A27" s="19" t="n">
        <v>25</v>
      </c>
      <c r="B27" s="19">
        <f>IFERROR(F26,B26)</f>
        <v/>
      </c>
      <c r="C27" s="19">
        <f>IFERROR(-5+B27-2*B27,0)</f>
        <v/>
      </c>
      <c r="D27" s="19">
        <f>IFERROR(B26,B26)</f>
        <v/>
      </c>
      <c r="E27" s="19">
        <f>IFERROR(C26,0)</f>
        <v/>
      </c>
      <c r="F27" s="19">
        <f>IFERROR(B27-(C27*(B27-D27)/(C27-E27)),B27)</f>
        <v/>
      </c>
      <c r="G27" s="19">
        <f>IFERROR(ABS((F27-B27)/F27)*100,0)</f>
        <v/>
      </c>
      <c r="H27" s="19">
        <f>IF(IFERROR(G27,0)&lt;0.00001,"SI","NO")</f>
        <v/>
      </c>
    </row>
    <row r="28" ht="17.25" customHeight="1">
      <c r="A28" s="31" t="inlineStr">
        <is>
          <t>MÉTODO DE LA SECANTE  —  x3 - 2*x - 5</t>
        </is>
      </c>
    </row>
    <row r="29" ht="15" customHeight="1">
      <c r="A29" s="32" t="inlineStr">
        <is>
          <t>Ecuación:</t>
        </is>
      </c>
      <c r="B29" s="6" t="inlineStr">
        <is>
          <t>x3 - 2*x - 5</t>
        </is>
      </c>
      <c r="D29" s="32" t="inlineStr">
        <is>
          <t>x₀, x₁:</t>
        </is>
      </c>
      <c r="E29" s="6" t="inlineStr">
        <is>
          <t>1, 2</t>
        </is>
      </c>
    </row>
  </sheetData>
  <mergeCells count="1">
    <mergeCell ref="A28:H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1" t="inlineStr">
        <is>
          <t>k</t>
        </is>
      </c>
      <c r="B1" s="1" t="inlineStr">
        <is>
          <t>xₖ</t>
        </is>
      </c>
      <c r="C1" s="1" t="inlineStr">
        <is>
          <t>f(xₖ)</t>
        </is>
      </c>
      <c r="D1" s="1" t="inlineStr">
        <is>
          <t>f'(x₀) cte.</t>
        </is>
      </c>
      <c r="E1" s="1" t="inlineStr">
        <is>
          <t>xₖ₊₁</t>
        </is>
      </c>
      <c r="F1" s="1" t="inlineStr">
        <is>
          <t>Error %</t>
        </is>
      </c>
      <c r="G1" s="1" t="inlineStr">
        <is>
          <t>Convergencia</t>
        </is>
      </c>
    </row>
    <row r="2" ht="15" customHeight="1">
      <c r="A2" s="2" t="n">
        <v>0</v>
      </c>
      <c r="B2" s="2" t="n">
        <v>1</v>
      </c>
      <c r="C2" s="2">
        <f>-5+B2-2*B2</f>
        <v/>
      </c>
      <c r="D2" s="2" t="n">
        <v>-2</v>
      </c>
      <c r="E2" s="2">
        <f>B2-(C2/D2)</f>
        <v/>
      </c>
      <c r="F2" s="2">
        <f>ABS((E2-B2)/E2)*100</f>
        <v/>
      </c>
      <c r="G2" s="2">
        <f>IF(F2&lt;0.00001,"SI","NO")</f>
        <v/>
      </c>
    </row>
    <row r="3" ht="15" customHeight="1">
      <c r="A3" s="3" t="n">
        <v>1</v>
      </c>
      <c r="B3" s="3">
        <f>E2</f>
        <v/>
      </c>
      <c r="C3" s="3">
        <f>-5+B3-2*B3</f>
        <v/>
      </c>
      <c r="D3" s="3" t="n">
        <v>-2</v>
      </c>
      <c r="E3" s="3">
        <f>B3-(C3/D3)</f>
        <v/>
      </c>
      <c r="F3" s="3">
        <f>ABS((E3-B3)/E3)*100</f>
        <v/>
      </c>
      <c r="G3" s="3">
        <f>IF(F3&lt;0.00001,"SI","NO")</f>
        <v/>
      </c>
    </row>
    <row r="4" ht="15" customHeight="1">
      <c r="A4" s="2" t="n">
        <v>2</v>
      </c>
      <c r="B4" s="2">
        <f>E3</f>
        <v/>
      </c>
      <c r="C4" s="2">
        <f>-5+B4-2*B4</f>
        <v/>
      </c>
      <c r="D4" s="2" t="n">
        <v>-2</v>
      </c>
      <c r="E4" s="2">
        <f>B4-(C4/D4)</f>
        <v/>
      </c>
      <c r="F4" s="2">
        <f>ABS((E4-B4)/E4)*100</f>
        <v/>
      </c>
      <c r="G4" s="2">
        <f>IF(F4&lt;0.00001,"SI","NO")</f>
        <v/>
      </c>
    </row>
    <row r="5" ht="15" customHeight="1">
      <c r="A5" s="3" t="n">
        <v>3</v>
      </c>
      <c r="B5" s="3">
        <f>E4</f>
        <v/>
      </c>
      <c r="C5" s="3">
        <f>-5+B5-2*B5</f>
        <v/>
      </c>
      <c r="D5" s="3" t="n">
        <v>-2</v>
      </c>
      <c r="E5" s="3">
        <f>B5-(C5/D5)</f>
        <v/>
      </c>
      <c r="F5" s="3">
        <f>ABS((E5-B5)/E5)*100</f>
        <v/>
      </c>
      <c r="G5" s="3">
        <f>IF(F5&lt;0.00001,"SI","NO")</f>
        <v/>
      </c>
    </row>
    <row r="6" ht="15" customHeight="1">
      <c r="A6" s="2" t="n">
        <v>4</v>
      </c>
      <c r="B6" s="2">
        <f>E5</f>
        <v/>
      </c>
      <c r="C6" s="2">
        <f>-5+B6-2*B6</f>
        <v/>
      </c>
      <c r="D6" s="2" t="n">
        <v>-2</v>
      </c>
      <c r="E6" s="2">
        <f>B6-(C6/D6)</f>
        <v/>
      </c>
      <c r="F6" s="2">
        <f>ABS((E6-B6)/E6)*100</f>
        <v/>
      </c>
      <c r="G6" s="2">
        <f>IF(F6&lt;0.00001,"SI","NO")</f>
        <v/>
      </c>
    </row>
    <row r="7" ht="15" customHeight="1">
      <c r="A7" s="3" t="n">
        <v>5</v>
      </c>
      <c r="B7" s="3">
        <f>E6</f>
        <v/>
      </c>
      <c r="C7" s="3">
        <f>-5+B7-2*B7</f>
        <v/>
      </c>
      <c r="D7" s="3" t="n">
        <v>-2</v>
      </c>
      <c r="E7" s="3">
        <f>B7-(C7/D7)</f>
        <v/>
      </c>
      <c r="F7" s="3">
        <f>ABS((E7-B7)/E7)*100</f>
        <v/>
      </c>
      <c r="G7" s="3">
        <f>IF(F7&lt;0.00001,"SI","NO")</f>
        <v/>
      </c>
    </row>
    <row r="8" ht="15" customHeight="1">
      <c r="A8" s="2" t="n">
        <v>6</v>
      </c>
      <c r="B8" s="2">
        <f>E7</f>
        <v/>
      </c>
      <c r="C8" s="2">
        <f>-5+B8-2*B8</f>
        <v/>
      </c>
      <c r="D8" s="2" t="n">
        <v>-2</v>
      </c>
      <c r="E8" s="2">
        <f>B8-(C8/D8)</f>
        <v/>
      </c>
      <c r="F8" s="2">
        <f>ABS((E8-B8)/E8)*100</f>
        <v/>
      </c>
      <c r="G8" s="2">
        <f>IF(F8&lt;0.00001,"SI","NO")</f>
        <v/>
      </c>
    </row>
    <row r="9" ht="15" customHeight="1">
      <c r="A9" s="3" t="n">
        <v>7</v>
      </c>
      <c r="B9" s="3">
        <f>E8</f>
        <v/>
      </c>
      <c r="C9" s="3">
        <f>-5+B9-2*B9</f>
        <v/>
      </c>
      <c r="D9" s="3" t="n">
        <v>-2</v>
      </c>
      <c r="E9" s="3">
        <f>B9-(C9/D9)</f>
        <v/>
      </c>
      <c r="F9" s="3">
        <f>ABS((E9-B9)/E9)*100</f>
        <v/>
      </c>
      <c r="G9" s="3">
        <f>IF(F9&lt;0.00001,"SI","NO")</f>
        <v/>
      </c>
    </row>
    <row r="10" ht="15" customHeight="1">
      <c r="A10" s="2" t="n">
        <v>8</v>
      </c>
      <c r="B10" s="2">
        <f>E9</f>
        <v/>
      </c>
      <c r="C10" s="2">
        <f>-5+B10-2*B10</f>
        <v/>
      </c>
      <c r="D10" s="2" t="n">
        <v>-2</v>
      </c>
      <c r="E10" s="2">
        <f>B10-(C10/D10)</f>
        <v/>
      </c>
      <c r="F10" s="2">
        <f>ABS((E10-B10)/E10)*100</f>
        <v/>
      </c>
      <c r="G10" s="2">
        <f>IF(F10&lt;0.00001,"SI","NO")</f>
        <v/>
      </c>
    </row>
    <row r="11" ht="15" customHeight="1">
      <c r="A11" s="3" t="n">
        <v>9</v>
      </c>
      <c r="B11" s="3">
        <f>E10</f>
        <v/>
      </c>
      <c r="C11" s="3">
        <f>-5+B11-2*B11</f>
        <v/>
      </c>
      <c r="D11" s="3" t="n">
        <v>-2</v>
      </c>
      <c r="E11" s="3">
        <f>B11-(C11/D11)</f>
        <v/>
      </c>
      <c r="F11" s="3">
        <f>ABS((E11-B11)/E11)*100</f>
        <v/>
      </c>
      <c r="G11" s="3">
        <f>IF(F11&lt;0.00001,"SI","NO")</f>
        <v/>
      </c>
    </row>
    <row r="12" ht="15" customHeight="1">
      <c r="A12" s="2" t="n">
        <v>10</v>
      </c>
      <c r="B12" s="2">
        <f>E11</f>
        <v/>
      </c>
      <c r="C12" s="2">
        <f>-5+B12-2*B12</f>
        <v/>
      </c>
      <c r="D12" s="2" t="n">
        <v>-2</v>
      </c>
      <c r="E12" s="2">
        <f>B12-(C12/D12)</f>
        <v/>
      </c>
      <c r="F12" s="2">
        <f>ABS((E12-B12)/E12)*100</f>
        <v/>
      </c>
      <c r="G12" s="2">
        <f>IF(F12&lt;0.00001,"SI","NO")</f>
        <v/>
      </c>
    </row>
    <row r="13" ht="15" customHeight="1">
      <c r="A13" s="3" t="n">
        <v>11</v>
      </c>
      <c r="B13" s="3">
        <f>E12</f>
        <v/>
      </c>
      <c r="C13" s="3">
        <f>-5+B13-2*B13</f>
        <v/>
      </c>
      <c r="D13" s="3" t="n">
        <v>-2</v>
      </c>
      <c r="E13" s="3">
        <f>B13-(C13/D13)</f>
        <v/>
      </c>
      <c r="F13" s="3">
        <f>ABS((E13-B13)/E13)*100</f>
        <v/>
      </c>
      <c r="G13" s="3">
        <f>IF(F13&lt;0.00001,"SI","NO")</f>
        <v/>
      </c>
    </row>
    <row r="14" ht="15" customHeight="1">
      <c r="A14" s="2" t="n">
        <v>12</v>
      </c>
      <c r="B14" s="2">
        <f>E13</f>
        <v/>
      </c>
      <c r="C14" s="2">
        <f>-5+B14-2*B14</f>
        <v/>
      </c>
      <c r="D14" s="2" t="n">
        <v>-2</v>
      </c>
      <c r="E14" s="2">
        <f>B14-(C14/D14)</f>
        <v/>
      </c>
      <c r="F14" s="2">
        <f>ABS((E14-B14)/E14)*100</f>
        <v/>
      </c>
      <c r="G14" s="2">
        <f>IF(F14&lt;0.00001,"SI","NO")</f>
        <v/>
      </c>
    </row>
    <row r="15" ht="15" customHeight="1">
      <c r="A15" s="3" t="n">
        <v>13</v>
      </c>
      <c r="B15" s="3">
        <f>E14</f>
        <v/>
      </c>
      <c r="C15" s="3">
        <f>-5+B15-2*B15</f>
        <v/>
      </c>
      <c r="D15" s="3" t="n">
        <v>-2</v>
      </c>
      <c r="E15" s="3">
        <f>B15-(C15/D15)</f>
        <v/>
      </c>
      <c r="F15" s="3">
        <f>ABS((E15-B15)/E15)*100</f>
        <v/>
      </c>
      <c r="G15" s="3">
        <f>IF(F15&lt;0.00001,"SI","NO")</f>
        <v/>
      </c>
    </row>
    <row r="16" ht="15" customHeight="1">
      <c r="A16" s="2" t="n">
        <v>14</v>
      </c>
      <c r="B16" s="2">
        <f>E15</f>
        <v/>
      </c>
      <c r="C16" s="2">
        <f>-5+B16-2*B16</f>
        <v/>
      </c>
      <c r="D16" s="2" t="n">
        <v>-2</v>
      </c>
      <c r="E16" s="2">
        <f>B16-(C16/D16)</f>
        <v/>
      </c>
      <c r="F16" s="2">
        <f>ABS((E16-B16)/E16)*100</f>
        <v/>
      </c>
      <c r="G16" s="2">
        <f>IF(F16&lt;0.00001,"SI","NO")</f>
        <v/>
      </c>
    </row>
    <row r="17" ht="15" customHeight="1">
      <c r="A17" s="3" t="n">
        <v>15</v>
      </c>
      <c r="B17" s="3">
        <f>E16</f>
        <v/>
      </c>
      <c r="C17" s="3">
        <f>-5+B17-2*B17</f>
        <v/>
      </c>
      <c r="D17" s="3" t="n">
        <v>-2</v>
      </c>
      <c r="E17" s="3">
        <f>B17-(C17/D17)</f>
        <v/>
      </c>
      <c r="F17" s="3">
        <f>ABS((E17-B17)/E17)*100</f>
        <v/>
      </c>
      <c r="G17" s="3">
        <f>IF(F17&lt;0.00001,"SI","NO")</f>
        <v/>
      </c>
    </row>
    <row r="18" ht="15" customHeight="1">
      <c r="A18" s="2" t="n">
        <v>16</v>
      </c>
      <c r="B18" s="2">
        <f>E17</f>
        <v/>
      </c>
      <c r="C18" s="2">
        <f>-5+B18-2*B18</f>
        <v/>
      </c>
      <c r="D18" s="2" t="n">
        <v>-2</v>
      </c>
      <c r="E18" s="2">
        <f>B18-(C18/D18)</f>
        <v/>
      </c>
      <c r="F18" s="2">
        <f>ABS((E18-B18)/E18)*100</f>
        <v/>
      </c>
      <c r="G18" s="2">
        <f>IF(F18&lt;0.00001,"SI","NO")</f>
        <v/>
      </c>
    </row>
    <row r="19" ht="15" customHeight="1">
      <c r="A19" s="3" t="n">
        <v>17</v>
      </c>
      <c r="B19" s="3">
        <f>E18</f>
        <v/>
      </c>
      <c r="C19" s="3">
        <f>-5+B19-2*B19</f>
        <v/>
      </c>
      <c r="D19" s="3" t="n">
        <v>-2</v>
      </c>
      <c r="E19" s="3">
        <f>B19-(C19/D19)</f>
        <v/>
      </c>
      <c r="F19" s="3">
        <f>ABS((E19-B19)/E19)*100</f>
        <v/>
      </c>
      <c r="G19" s="3">
        <f>IF(F19&lt;0.00001,"SI","NO")</f>
        <v/>
      </c>
    </row>
    <row r="20" ht="15" customHeight="1">
      <c r="A20" s="2" t="n">
        <v>18</v>
      </c>
      <c r="B20" s="2">
        <f>E19</f>
        <v/>
      </c>
      <c r="C20" s="2">
        <f>-5+B20-2*B20</f>
        <v/>
      </c>
      <c r="D20" s="2" t="n">
        <v>-2</v>
      </c>
      <c r="E20" s="2">
        <f>B20-(C20/D20)</f>
        <v/>
      </c>
      <c r="F20" s="2">
        <f>ABS((E20-B20)/E20)*100</f>
        <v/>
      </c>
      <c r="G20" s="2">
        <f>IF(F20&lt;0.00001,"SI","NO")</f>
        <v/>
      </c>
    </row>
    <row r="21" ht="15" customHeight="1">
      <c r="A21" s="3" t="n">
        <v>19</v>
      </c>
      <c r="B21" s="3">
        <f>E20</f>
        <v/>
      </c>
      <c r="C21" s="3">
        <f>-5+B21-2*B21</f>
        <v/>
      </c>
      <c r="D21" s="3" t="n">
        <v>-2</v>
      </c>
      <c r="E21" s="3">
        <f>B21-(C21/D21)</f>
        <v/>
      </c>
      <c r="F21" s="3">
        <f>ABS((E21-B21)/E21)*100</f>
        <v/>
      </c>
      <c r="G21" s="3">
        <f>IF(F21&lt;0.00001,"SI","NO")</f>
        <v/>
      </c>
    </row>
    <row r="22" ht="15" customHeight="1">
      <c r="A22" s="2" t="n">
        <v>20</v>
      </c>
      <c r="B22" s="2">
        <f>E21</f>
        <v/>
      </c>
      <c r="C22" s="2">
        <f>-5+B22-2*B22</f>
        <v/>
      </c>
      <c r="D22" s="2" t="n">
        <v>-2</v>
      </c>
      <c r="E22" s="2">
        <f>B22-(C22/D22)</f>
        <v/>
      </c>
      <c r="F22" s="2">
        <f>ABS((E22-B22)/E22)*100</f>
        <v/>
      </c>
      <c r="G22" s="2">
        <f>IF(F22&lt;0.00001,"SI","NO")</f>
        <v/>
      </c>
    </row>
    <row r="23" ht="15" customHeight="1">
      <c r="A23" s="3" t="n">
        <v>21</v>
      </c>
      <c r="B23" s="3">
        <f>E22</f>
        <v/>
      </c>
      <c r="C23" s="3">
        <f>-5+B23-2*B23</f>
        <v/>
      </c>
      <c r="D23" s="3" t="n">
        <v>-2</v>
      </c>
      <c r="E23" s="3">
        <f>B23-(C23/D23)</f>
        <v/>
      </c>
      <c r="F23" s="3">
        <f>ABS((E23-B23)/E23)*100</f>
        <v/>
      </c>
      <c r="G23" s="3">
        <f>IF(F23&lt;0.00001,"SI","NO")</f>
        <v/>
      </c>
    </row>
    <row r="24" ht="15" customHeight="1">
      <c r="A24" s="2" t="n">
        <v>22</v>
      </c>
      <c r="B24" s="2">
        <f>E23</f>
        <v/>
      </c>
      <c r="C24" s="2">
        <f>-5+B24-2*B24</f>
        <v/>
      </c>
      <c r="D24" s="2" t="n">
        <v>-2</v>
      </c>
      <c r="E24" s="2">
        <f>B24-(C24/D24)</f>
        <v/>
      </c>
      <c r="F24" s="2">
        <f>ABS((E24-B24)/E24)*100</f>
        <v/>
      </c>
      <c r="G24" s="2">
        <f>IF(F24&lt;0.00001,"SI","NO")</f>
        <v/>
      </c>
    </row>
    <row r="25" ht="15" customHeight="1">
      <c r="A25" s="3" t="n">
        <v>23</v>
      </c>
      <c r="B25" s="3">
        <f>E24</f>
        <v/>
      </c>
      <c r="C25" s="3">
        <f>-5+B25-2*B25</f>
        <v/>
      </c>
      <c r="D25" s="3" t="n">
        <v>-2</v>
      </c>
      <c r="E25" s="3">
        <f>B25-(C25/D25)</f>
        <v/>
      </c>
      <c r="F25" s="3">
        <f>ABS((E25-B25)/E25)*100</f>
        <v/>
      </c>
      <c r="G25" s="3">
        <f>IF(F25&lt;0.00001,"SI","NO")</f>
        <v/>
      </c>
    </row>
    <row r="26" ht="15" customHeight="1">
      <c r="A26" s="2" t="n">
        <v>24</v>
      </c>
      <c r="B26" s="2">
        <f>E25</f>
        <v/>
      </c>
      <c r="C26" s="2">
        <f>-5+B26-2*B26</f>
        <v/>
      </c>
      <c r="D26" s="2" t="n">
        <v>-2</v>
      </c>
      <c r="E26" s="2">
        <f>B26-(C26/D26)</f>
        <v/>
      </c>
      <c r="F26" s="2">
        <f>ABS((E26-B26)/E26)*100</f>
        <v/>
      </c>
      <c r="G26" s="2">
        <f>IF(F26&lt;0.00001,"SI","NO")</f>
        <v/>
      </c>
    </row>
    <row r="27" ht="17.25" customHeight="1">
      <c r="A27" s="4" t="inlineStr">
        <is>
          <t>MÉTODO DE VON MISES  —  x3 - 2*x - 5</t>
        </is>
      </c>
    </row>
    <row r="28" ht="15" customHeight="1">
      <c r="A28" s="5" t="inlineStr">
        <is>
          <t>Ecuación:</t>
        </is>
      </c>
      <c r="B28" s="6" t="inlineStr">
        <is>
          <t>x3 - 2*x - 5</t>
        </is>
      </c>
      <c r="D28" s="5" t="inlineStr">
        <is>
          <t>f'(x₀):</t>
        </is>
      </c>
      <c r="E28" s="6" t="inlineStr">
        <is>
          <t>-2</t>
        </is>
      </c>
    </row>
  </sheetData>
  <mergeCells count="1">
    <mergeCell ref="A27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2026-06-08T23:48:19Z</dcterms:created>
  <dcterms:modified xmlns:dcterms="http://purl.org/dc/terms/" xmlns:xsi="http://www.w3.org/2001/XMLSchema-instance" xsi:type="dcterms:W3CDTF">2026-06-08T23:48:19Z</dcterms:modified>
</cp:coreProperties>
</file>