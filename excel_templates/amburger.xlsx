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5A32C09-FC5D-4838-A88F-71AD0C05C393}" xr6:coauthVersionLast="47" xr6:coauthVersionMax="47" xr10:uidLastSave="{00000000-0000-0000-0000-000000000000}"/>
  <bookViews>
    <workbookView xWindow="0" yWindow="345" windowWidth="22545" windowHeight="12870" firstSheet="7" activeTab="13" xr2:uid="{B402729B-365A-437E-AFE7-A7AB98268CE2}"/>
  </bookViews>
  <sheets>
    <sheet name="Bisección" sheetId="1" r:id="rId1"/>
    <sheet name="Regula Falsi" sheetId="2" r:id="rId2"/>
    <sheet name="Punto Fijo" sheetId="3" r:id="rId3"/>
    <sheet name="Aitken" sheetId="4" r:id="rId4"/>
    <sheet name="Steffensen" sheetId="5" r:id="rId5"/>
    <sheet name="Newton-Raphson" sheetId="6" r:id="rId6"/>
    <sheet name="Newton Modificado" sheetId="7" r:id="rId7"/>
    <sheet name="Newton 2do Orden" sheetId="8" r:id="rId8"/>
    <sheet name="Chebyshev" sheetId="9" r:id="rId9"/>
    <sheet name="Halley" sheetId="13" r:id="rId10"/>
    <sheet name="Super Halley" sheetId="14" r:id="rId11"/>
    <sheet name="Ostrowsky" sheetId="10" r:id="rId12"/>
    <sheet name="Secante" sheetId="12" r:id="rId13"/>
    <sheet name="Von Mises" sheetId="1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2" l="1"/>
  <c r="H5" i="12"/>
  <c r="H6" i="12"/>
  <c r="H7" i="12"/>
  <c r="H8" i="12"/>
  <c r="H3" i="12"/>
  <c r="F3" i="8" l="1"/>
  <c r="K20" i="5"/>
  <c r="J21" i="5" s="1"/>
  <c r="K21" i="5" s="1"/>
  <c r="L21" i="5" l="1"/>
  <c r="M21" i="5" s="1"/>
  <c r="J22" i="5"/>
  <c r="K22" i="5" s="1"/>
  <c r="J8" i="5" l="1"/>
  <c r="J23" i="5"/>
  <c r="K23" i="5" s="1"/>
  <c r="L22" i="5"/>
  <c r="M22" i="5" s="1"/>
  <c r="J9" i="5" l="1"/>
  <c r="L23" i="5"/>
  <c r="M23" i="5" s="1"/>
  <c r="J24" i="5"/>
  <c r="K24" i="5" s="1"/>
  <c r="J10" i="5" l="1"/>
  <c r="K10" i="5" s="1"/>
  <c r="L10" i="5" s="1"/>
  <c r="K9" i="5"/>
  <c r="L9" i="5" s="1"/>
  <c r="B2" i="5"/>
  <c r="J25" i="5"/>
  <c r="K25" i="5" s="1"/>
  <c r="J11" i="5" s="1"/>
  <c r="L24" i="5"/>
  <c r="M24" i="5" s="1"/>
  <c r="K11" i="5" l="1"/>
  <c r="L11" i="5" s="1"/>
  <c r="B3" i="5"/>
  <c r="C3" i="5" s="1"/>
  <c r="D3" i="5" s="1"/>
  <c r="L25" i="5"/>
  <c r="M25" i="5" s="1"/>
  <c r="J26" i="5"/>
  <c r="K26" i="5" s="1"/>
  <c r="J27" i="5" l="1"/>
  <c r="K27" i="5" s="1"/>
  <c r="L26" i="5"/>
  <c r="M26" i="5" s="1"/>
  <c r="L27" i="5" l="1"/>
  <c r="M27" i="5" s="1"/>
  <c r="J28" i="5"/>
  <c r="K28" i="5" s="1"/>
  <c r="J29" i="5" l="1"/>
  <c r="K29" i="5" s="1"/>
  <c r="L29" i="5" s="1"/>
  <c r="M29" i="5" s="1"/>
  <c r="L28" i="5"/>
  <c r="M28" i="5" s="1"/>
  <c r="K2" i="4" l="1"/>
  <c r="E3" i="9"/>
  <c r="E4" i="9"/>
  <c r="E5" i="9"/>
  <c r="E2" i="9"/>
  <c r="F2" i="9"/>
  <c r="D2" i="9"/>
  <c r="C2" i="9"/>
  <c r="J3" i="4" l="1"/>
  <c r="K3" i="4" s="1"/>
  <c r="L3" i="4"/>
  <c r="M3" i="4" s="1"/>
  <c r="J4" i="4"/>
  <c r="K4" i="4" s="1"/>
  <c r="B3" i="9"/>
  <c r="G2" i="9"/>
  <c r="H2" i="9" s="1"/>
  <c r="B2" i="4" l="1"/>
  <c r="J5" i="4"/>
  <c r="K5" i="4" s="1"/>
  <c r="L4" i="4"/>
  <c r="M4" i="4" s="1"/>
  <c r="D3" i="9"/>
  <c r="C3" i="9"/>
  <c r="B3" i="4" l="1"/>
  <c r="C3" i="4" s="1"/>
  <c r="D3" i="4" s="1"/>
  <c r="L5" i="4"/>
  <c r="M5" i="4" s="1"/>
  <c r="J6" i="4"/>
  <c r="K6" i="4" s="1"/>
  <c r="F3" i="9"/>
  <c r="B4" i="9" s="1"/>
  <c r="B4" i="4" l="1"/>
  <c r="C4" i="4" s="1"/>
  <c r="D4" i="4" s="1"/>
  <c r="J7" i="4"/>
  <c r="K7" i="4" s="1"/>
  <c r="L6" i="4"/>
  <c r="M6" i="4" s="1"/>
  <c r="G3" i="9"/>
  <c r="H3" i="9" s="1"/>
  <c r="D4" i="9"/>
  <c r="C4" i="9"/>
  <c r="F2" i="14"/>
  <c r="C2" i="11"/>
  <c r="B5" i="4" l="1"/>
  <c r="C5" i="4" s="1"/>
  <c r="D5" i="4" s="1"/>
  <c r="E2" i="11"/>
  <c r="F2" i="11" s="1"/>
  <c r="G2" i="11" s="1"/>
  <c r="L7" i="4"/>
  <c r="M7" i="4" s="1"/>
  <c r="J8" i="4"/>
  <c r="K8" i="4" s="1"/>
  <c r="F4" i="9"/>
  <c r="B5" i="9"/>
  <c r="G4" i="9"/>
  <c r="H4" i="9" s="1"/>
  <c r="B3" i="11" l="1"/>
  <c r="J9" i="4"/>
  <c r="K9" i="4" s="1"/>
  <c r="L8" i="4"/>
  <c r="M8" i="4" s="1"/>
  <c r="D5" i="9"/>
  <c r="C5" i="9"/>
  <c r="F5" i="9" s="1"/>
  <c r="G5" i="9" s="1"/>
  <c r="H5" i="9" s="1"/>
  <c r="C3" i="11"/>
  <c r="E3" i="11" s="1"/>
  <c r="L9" i="4" l="1"/>
  <c r="M9" i="4" s="1"/>
  <c r="J10" i="4"/>
  <c r="K10" i="4" s="1"/>
  <c r="F3" i="11"/>
  <c r="G3" i="11" s="1"/>
  <c r="B4" i="11"/>
  <c r="J11" i="4" l="1"/>
  <c r="K11" i="4" s="1"/>
  <c r="L11" i="4" s="1"/>
  <c r="M11" i="4" s="1"/>
  <c r="L10" i="4"/>
  <c r="M10" i="4" s="1"/>
  <c r="C4" i="11"/>
  <c r="E4" i="11" s="1"/>
  <c r="B5" i="11" l="1"/>
  <c r="F4" i="11"/>
  <c r="G4" i="11" s="1"/>
  <c r="C5" i="11" l="1"/>
  <c r="E5" i="11" s="1"/>
  <c r="B6" i="11" l="1"/>
  <c r="F5" i="11"/>
  <c r="G5" i="11" s="1"/>
  <c r="C6" i="11" l="1"/>
  <c r="E6" i="11" s="1"/>
  <c r="B7" i="11" l="1"/>
  <c r="F6" i="11"/>
  <c r="G6" i="11" s="1"/>
  <c r="C7" i="11" l="1"/>
  <c r="E7" i="11" s="1"/>
  <c r="B8" i="11" l="1"/>
  <c r="F7" i="11"/>
  <c r="G7" i="11" s="1"/>
  <c r="C8" i="11" l="1"/>
  <c r="E8" i="11" s="1"/>
  <c r="B9" i="11" l="1"/>
  <c r="F8" i="11"/>
  <c r="G8" i="11" s="1"/>
  <c r="C9" i="11" l="1"/>
  <c r="E9" i="11" s="1"/>
  <c r="B10" i="11" l="1"/>
  <c r="F9" i="11"/>
  <c r="G9" i="11" s="1"/>
  <c r="C10" i="11" l="1"/>
  <c r="E10" i="11"/>
  <c r="F10" i="11" l="1"/>
  <c r="G10" i="11" s="1"/>
  <c r="B11" i="11"/>
  <c r="C11" i="11" l="1"/>
  <c r="E11" i="11" s="1"/>
  <c r="B12" i="11" l="1"/>
  <c r="F11" i="11"/>
  <c r="G11" i="11" s="1"/>
  <c r="C12" i="11" l="1"/>
  <c r="E12" i="11" s="1"/>
  <c r="F3" i="12"/>
  <c r="G3" i="12"/>
  <c r="E4" i="12"/>
  <c r="D4" i="12"/>
  <c r="D3" i="12"/>
  <c r="C3" i="12"/>
  <c r="C2" i="12"/>
  <c r="E3" i="12" s="1"/>
  <c r="E4" i="14"/>
  <c r="B3" i="14"/>
  <c r="E3" i="14"/>
  <c r="E2" i="14"/>
  <c r="D2" i="14"/>
  <c r="C2" i="14"/>
  <c r="E3" i="13"/>
  <c r="E4" i="13"/>
  <c r="E5" i="13"/>
  <c r="E2" i="13"/>
  <c r="H4" i="10"/>
  <c r="H5" i="10"/>
  <c r="H3" i="10"/>
  <c r="D2" i="13"/>
  <c r="C2" i="13"/>
  <c r="F2" i="13" s="1"/>
  <c r="B3" i="13" s="1"/>
  <c r="G3" i="10"/>
  <c r="D3" i="10"/>
  <c r="F3" i="10" s="1"/>
  <c r="B4" i="10" s="1"/>
  <c r="C3" i="10"/>
  <c r="F2" i="8"/>
  <c r="B9" i="7"/>
  <c r="E4" i="7" s="1"/>
  <c r="D2" i="7"/>
  <c r="C2" i="7"/>
  <c r="D2" i="8"/>
  <c r="G2" i="8" s="1"/>
  <c r="H2" i="8" s="1"/>
  <c r="C2" i="8"/>
  <c r="D3" i="14" l="1"/>
  <c r="C3" i="14"/>
  <c r="B13" i="11"/>
  <c r="F12" i="11"/>
  <c r="G12" i="11" s="1"/>
  <c r="B4" i="12"/>
  <c r="G2" i="14"/>
  <c r="H2" i="14" s="1"/>
  <c r="G2" i="13"/>
  <c r="H2" i="13" s="1"/>
  <c r="C3" i="13"/>
  <c r="D3" i="13"/>
  <c r="F3" i="13" s="1"/>
  <c r="C4" i="10"/>
  <c r="D4" i="10"/>
  <c r="F4" i="10" s="1"/>
  <c r="E5" i="7"/>
  <c r="E6" i="7"/>
  <c r="B3" i="8"/>
  <c r="E3" i="7"/>
  <c r="E2" i="7"/>
  <c r="F2" i="7" s="1"/>
  <c r="D3" i="8"/>
  <c r="C3" i="8"/>
  <c r="F3" i="14" l="1"/>
  <c r="B4" i="14" s="1"/>
  <c r="C4" i="14" s="1"/>
  <c r="D4" i="14"/>
  <c r="G3" i="14"/>
  <c r="H3" i="14" s="1"/>
  <c r="C13" i="11"/>
  <c r="E13" i="11" s="1"/>
  <c r="C4" i="12"/>
  <c r="E5" i="12" s="1"/>
  <c r="F4" i="12"/>
  <c r="D5" i="12"/>
  <c r="B4" i="13"/>
  <c r="G3" i="13"/>
  <c r="H3" i="13" s="1"/>
  <c r="B5" i="10"/>
  <c r="G4" i="10"/>
  <c r="G2" i="7"/>
  <c r="H2" i="7" s="1"/>
  <c r="G3" i="8"/>
  <c r="H3" i="8" s="1"/>
  <c r="F4" i="14" l="1"/>
  <c r="G4" i="14" s="1"/>
  <c r="H4" i="14" s="1"/>
  <c r="F13" i="11"/>
  <c r="G13" i="11" s="1"/>
  <c r="B14" i="11"/>
  <c r="B5" i="12"/>
  <c r="G4" i="12"/>
  <c r="C4" i="13"/>
  <c r="D4" i="13"/>
  <c r="C5" i="10"/>
  <c r="D5" i="10"/>
  <c r="F5" i="10" s="1"/>
  <c r="G5" i="10" s="1"/>
  <c r="B3" i="7"/>
  <c r="C14" i="11" l="1"/>
  <c r="E14" i="11" s="1"/>
  <c r="D6" i="12"/>
  <c r="C5" i="12"/>
  <c r="E6" i="12" s="1"/>
  <c r="F4" i="13"/>
  <c r="B5" i="13" s="1"/>
  <c r="G4" i="13"/>
  <c r="H4" i="13" s="1"/>
  <c r="D3" i="7"/>
  <c r="C3" i="7"/>
  <c r="F3" i="7" s="1"/>
  <c r="B4" i="7" s="1"/>
  <c r="F14" i="11" l="1"/>
  <c r="G14" i="11" s="1"/>
  <c r="B15" i="11"/>
  <c r="F5" i="12"/>
  <c r="C5" i="13"/>
  <c r="D5" i="13"/>
  <c r="F5" i="13" s="1"/>
  <c r="G5" i="13" s="1"/>
  <c r="H5" i="13" s="1"/>
  <c r="C4" i="7"/>
  <c r="D4" i="7"/>
  <c r="F4" i="7" s="1"/>
  <c r="G3" i="7"/>
  <c r="H3" i="7" s="1"/>
  <c r="C15" i="11" l="1"/>
  <c r="E15" i="11" s="1"/>
  <c r="B6" i="12"/>
  <c r="G5" i="12"/>
  <c r="G4" i="7"/>
  <c r="H4" i="7" s="1"/>
  <c r="B5" i="7"/>
  <c r="B16" i="11" l="1"/>
  <c r="F15" i="11"/>
  <c r="G15" i="11" s="1"/>
  <c r="C6" i="12"/>
  <c r="E7" i="12" s="1"/>
  <c r="D7" i="12"/>
  <c r="C5" i="7"/>
  <c r="D5" i="7"/>
  <c r="F5" i="7" s="1"/>
  <c r="C16" i="11" l="1"/>
  <c r="E16" i="11" s="1"/>
  <c r="F6" i="12"/>
  <c r="G5" i="7"/>
  <c r="H5" i="7" s="1"/>
  <c r="B6" i="7"/>
  <c r="F16" i="11" l="1"/>
  <c r="G16" i="11" s="1"/>
  <c r="B17" i="11"/>
  <c r="G6" i="12"/>
  <c r="B7" i="12"/>
  <c r="D6" i="7"/>
  <c r="C6" i="7"/>
  <c r="F6" i="7" s="1"/>
  <c r="G6" i="7" s="1"/>
  <c r="H6" i="7" s="1"/>
  <c r="C17" i="11" l="1"/>
  <c r="E17" i="11" s="1"/>
  <c r="D8" i="12"/>
  <c r="C7" i="12"/>
  <c r="E8" i="12" s="1"/>
  <c r="F7" i="12"/>
  <c r="B18" i="11" l="1"/>
  <c r="F17" i="11"/>
  <c r="G17" i="11" s="1"/>
  <c r="B8" i="12"/>
  <c r="G7" i="12"/>
  <c r="C18" i="11" l="1"/>
  <c r="E18" i="11" s="1"/>
  <c r="C8" i="12"/>
  <c r="F8" i="12"/>
  <c r="G8" i="12" s="1"/>
  <c r="B5" i="2"/>
  <c r="D5" i="2"/>
  <c r="E5" i="2"/>
  <c r="G5" i="2"/>
  <c r="J4" i="2"/>
  <c r="J3" i="2"/>
  <c r="G6" i="6"/>
  <c r="G3" i="6"/>
  <c r="G4" i="6"/>
  <c r="G5" i="6"/>
  <c r="D2" i="6"/>
  <c r="C2" i="6"/>
  <c r="E2" i="6" s="1"/>
  <c r="B3" i="6" s="1"/>
  <c r="C2" i="3"/>
  <c r="B3" i="3" s="1"/>
  <c r="C3" i="3" s="1"/>
  <c r="C2" i="2"/>
  <c r="B19" i="11" l="1"/>
  <c r="F18" i="11"/>
  <c r="G18" i="11" s="1"/>
  <c r="C5" i="2"/>
  <c r="F5" i="2"/>
  <c r="I5" i="2"/>
  <c r="J5" i="2" s="1"/>
  <c r="D3" i="6"/>
  <c r="C3" i="6"/>
  <c r="E3" i="6" s="1"/>
  <c r="D3" i="3"/>
  <c r="E3" i="3" s="1"/>
  <c r="B4" i="3"/>
  <c r="C4" i="3" s="1"/>
  <c r="B5" i="3" s="1"/>
  <c r="C5" i="3" s="1"/>
  <c r="C19" i="11" l="1"/>
  <c r="E19" i="11" s="1"/>
  <c r="F19" i="11" s="1"/>
  <c r="G19" i="11" s="1"/>
  <c r="D5" i="3"/>
  <c r="E5" i="3" s="1"/>
  <c r="B6" i="3"/>
  <c r="C6" i="3" s="1"/>
  <c r="D6" i="2"/>
  <c r="G6" i="2" s="1"/>
  <c r="H5" i="2"/>
  <c r="B6" i="2"/>
  <c r="B4" i="6"/>
  <c r="F3" i="6"/>
  <c r="D4" i="3"/>
  <c r="E4" i="3" s="1"/>
  <c r="B7" i="3" l="1"/>
  <c r="C7" i="3" s="1"/>
  <c r="D6" i="3"/>
  <c r="E6" i="3" s="1"/>
  <c r="E6" i="2"/>
  <c r="C6" i="2"/>
  <c r="D4" i="6"/>
  <c r="C4" i="6"/>
  <c r="E4" i="6" s="1"/>
  <c r="D7" i="3" l="1"/>
  <c r="E7" i="3" s="1"/>
  <c r="B8" i="3"/>
  <c r="C8" i="3" s="1"/>
  <c r="I6" i="2"/>
  <c r="J6" i="2" s="1"/>
  <c r="F6" i="2"/>
  <c r="B7" i="2"/>
  <c r="D7" i="2"/>
  <c r="G7" i="2" s="1"/>
  <c r="H6" i="2"/>
  <c r="B5" i="6"/>
  <c r="F4" i="6"/>
  <c r="B9" i="3" l="1"/>
  <c r="C9" i="3" s="1"/>
  <c r="D8" i="3"/>
  <c r="E8" i="3" s="1"/>
  <c r="E7" i="2"/>
  <c r="C7" i="2"/>
  <c r="D5" i="6"/>
  <c r="C5" i="6"/>
  <c r="E5" i="6" s="1"/>
  <c r="D9" i="3" l="1"/>
  <c r="E9" i="3" s="1"/>
  <c r="B10" i="3"/>
  <c r="C10" i="3" s="1"/>
  <c r="F7" i="2"/>
  <c r="I7" i="2"/>
  <c r="J7" i="2" s="1"/>
  <c r="D8" i="2"/>
  <c r="G8" i="2" s="1"/>
  <c r="H7" i="2"/>
  <c r="B8" i="2"/>
  <c r="F5" i="6"/>
  <c r="B6" i="6"/>
  <c r="D10" i="3" l="1"/>
  <c r="E10" i="3" s="1"/>
  <c r="B11" i="3"/>
  <c r="C11" i="3" s="1"/>
  <c r="D11" i="3" s="1"/>
  <c r="E11" i="3" s="1"/>
  <c r="E8" i="2"/>
  <c r="D6" i="6"/>
  <c r="C6" i="6"/>
  <c r="E6" i="6" s="1"/>
  <c r="F6" i="6" s="1"/>
  <c r="C8" i="2" l="1"/>
  <c r="I8" i="2" l="1"/>
  <c r="J8" i="2" s="1"/>
  <c r="F8" i="2"/>
  <c r="H8" i="2" l="1"/>
  <c r="B9" i="2"/>
  <c r="D9" i="2"/>
  <c r="G9" i="2" s="1"/>
  <c r="E9" i="2" l="1"/>
  <c r="C9" i="2" l="1"/>
  <c r="I9" i="2" l="1"/>
  <c r="J9" i="2" s="1"/>
  <c r="F9" i="2"/>
  <c r="H9" i="2" l="1"/>
  <c r="B10" i="2"/>
  <c r="D10" i="2"/>
  <c r="G10" i="2" s="1"/>
  <c r="E10" i="2" l="1"/>
  <c r="C10" i="2"/>
  <c r="F10" i="2" l="1"/>
  <c r="I10" i="2"/>
  <c r="J10" i="2" s="1"/>
  <c r="H10" i="2"/>
  <c r="B11" i="2"/>
  <c r="D11" i="2"/>
  <c r="G11" i="2" s="1"/>
  <c r="E11" i="2" l="1"/>
  <c r="C11" i="2" l="1"/>
  <c r="F11" i="2" l="1"/>
  <c r="I11" i="2"/>
  <c r="J11" i="2" s="1"/>
  <c r="H11" i="2" l="1"/>
  <c r="G2" i="2" l="1"/>
  <c r="E2" i="2"/>
  <c r="F2" i="2"/>
  <c r="G2" i="1"/>
  <c r="E2" i="1"/>
  <c r="C2" i="1"/>
  <c r="F2" i="1" s="1"/>
  <c r="D3" i="2" l="1"/>
  <c r="G3" i="2" s="1"/>
  <c r="B3" i="2"/>
  <c r="H2" i="2"/>
  <c r="D3" i="1"/>
  <c r="G3" i="1" s="1"/>
  <c r="H2" i="1"/>
  <c r="B3" i="1"/>
  <c r="E3" i="2" l="1"/>
  <c r="C3" i="2" s="1"/>
  <c r="E3" i="1"/>
  <c r="C3" i="1"/>
  <c r="I3" i="2" l="1"/>
  <c r="F3" i="2"/>
  <c r="H3" i="2"/>
  <c r="B4" i="2"/>
  <c r="D4" i="2"/>
  <c r="G4" i="2" s="1"/>
  <c r="I3" i="1"/>
  <c r="J3" i="1" s="1"/>
  <c r="F3" i="1"/>
  <c r="B4" i="1" s="1"/>
  <c r="H3" i="1"/>
  <c r="D4" i="1"/>
  <c r="G4" i="1" s="1"/>
  <c r="E4" i="2" l="1"/>
  <c r="C4" i="2"/>
  <c r="C4" i="1"/>
  <c r="E4" i="1"/>
  <c r="F4" i="2" l="1"/>
  <c r="I4" i="2"/>
  <c r="H4" i="2"/>
  <c r="F4" i="1"/>
  <c r="B5" i="1" s="1"/>
  <c r="E5" i="1" s="1"/>
  <c r="I4" i="1"/>
  <c r="J4" i="1" s="1"/>
  <c r="D5" i="1" l="1"/>
  <c r="H4" i="1"/>
  <c r="C5" i="1" l="1"/>
  <c r="G5" i="1"/>
  <c r="F5" i="1" l="1"/>
  <c r="I5" i="1"/>
  <c r="J5" i="1" s="1"/>
  <c r="B6" i="1" l="1"/>
  <c r="H5" i="1"/>
  <c r="D6" i="1"/>
  <c r="G6" i="1" s="1"/>
  <c r="E6" i="1" l="1"/>
  <c r="C6" i="1"/>
  <c r="I6" i="1" l="1"/>
  <c r="J6" i="1" s="1"/>
  <c r="F6" i="1"/>
  <c r="H6" i="1"/>
  <c r="D7" i="1"/>
  <c r="G7" i="1" s="1"/>
  <c r="B7" i="1"/>
  <c r="C7" i="1" l="1"/>
  <c r="E7" i="1"/>
  <c r="D8" i="1" l="1"/>
  <c r="G8" i="1" s="1"/>
  <c r="F7" i="1"/>
  <c r="H7" i="1" s="1"/>
  <c r="I7" i="1"/>
  <c r="J7" i="1" s="1"/>
  <c r="B8" i="1" l="1"/>
  <c r="C8" i="1" l="1"/>
  <c r="E8" i="1"/>
  <c r="I8" i="1" l="1"/>
  <c r="J8" i="1" s="1"/>
  <c r="F8" i="1"/>
  <c r="H8" i="1" s="1"/>
  <c r="B9" i="1" l="1"/>
  <c r="D9" i="1"/>
  <c r="G9" i="1" s="1"/>
  <c r="C9" i="1" l="1"/>
  <c r="E9" i="1"/>
  <c r="F9" i="1" l="1"/>
  <c r="D10" i="1" s="1"/>
  <c r="G10" i="1" s="1"/>
  <c r="I9" i="1"/>
  <c r="J9" i="1" s="1"/>
  <c r="B10" i="1" l="1"/>
  <c r="H9" i="1"/>
  <c r="E10" i="1" l="1"/>
  <c r="C10" i="1"/>
  <c r="F10" i="1" l="1"/>
  <c r="I10" i="1"/>
  <c r="J10" i="1" s="1"/>
  <c r="H10" i="1"/>
  <c r="B11" i="1"/>
  <c r="D11" i="1"/>
  <c r="G11" i="1" s="1"/>
  <c r="C11" i="1" l="1"/>
  <c r="E11" i="1"/>
  <c r="F11" i="1" l="1"/>
  <c r="D12" i="1" s="1"/>
  <c r="G12" i="1" s="1"/>
  <c r="I11" i="1"/>
  <c r="J11" i="1" s="1"/>
  <c r="H11" i="1" l="1"/>
  <c r="B12" i="1"/>
  <c r="C12" i="1" l="1"/>
  <c r="E12" i="1"/>
  <c r="I12" i="1" l="1"/>
  <c r="J12" i="1" s="1"/>
  <c r="F12" i="1"/>
  <c r="H12" i="1" s="1"/>
  <c r="D13" i="1"/>
  <c r="G13" i="1" s="1"/>
  <c r="B13" i="1"/>
  <c r="E13" i="1" l="1"/>
  <c r="C13" i="1"/>
  <c r="F13" i="1" l="1"/>
  <c r="I13" i="1"/>
  <c r="J13" i="1" s="1"/>
  <c r="B14" i="1"/>
  <c r="D14" i="1"/>
  <c r="G14" i="1" s="1"/>
  <c r="H13" i="1"/>
  <c r="C14" i="1" l="1"/>
  <c r="E14" i="1"/>
  <c r="I14" i="1" l="1"/>
  <c r="J14" i="1" s="1"/>
  <c r="F14" i="1"/>
  <c r="H14" i="1" s="1"/>
  <c r="D15" i="1" l="1"/>
  <c r="G15" i="1" s="1"/>
  <c r="B15" i="1"/>
  <c r="C15" i="1" l="1"/>
  <c r="E15" i="1"/>
  <c r="I15" i="1" l="1"/>
  <c r="J15" i="1" s="1"/>
  <c r="F15" i="1"/>
  <c r="H15" i="1" s="1"/>
  <c r="D16" i="1" l="1"/>
  <c r="G16" i="1" s="1"/>
  <c r="B16" i="1"/>
  <c r="C16" i="1" l="1"/>
  <c r="E16" i="1"/>
  <c r="I16" i="1" l="1"/>
  <c r="J16" i="1" s="1"/>
  <c r="F16" i="1"/>
  <c r="H16" i="1" s="1"/>
  <c r="B17" i="1" l="1"/>
  <c r="D17" i="1"/>
  <c r="G17" i="1" s="1"/>
  <c r="E17" i="1" l="1"/>
  <c r="C17" i="1"/>
  <c r="F17" i="1" l="1"/>
  <c r="I17" i="1"/>
  <c r="J17" i="1" s="1"/>
  <c r="H17" i="1"/>
  <c r="B18" i="1"/>
  <c r="D18" i="1"/>
  <c r="G18" i="1" s="1"/>
  <c r="C18" i="1" l="1"/>
  <c r="E18" i="1"/>
  <c r="I18" i="1" l="1"/>
  <c r="J18" i="1" s="1"/>
  <c r="F18" i="1"/>
  <c r="D19" i="1" s="1"/>
  <c r="G19" i="1" s="1"/>
  <c r="H18" i="1" l="1"/>
  <c r="B19" i="1"/>
  <c r="E19" i="1" l="1"/>
  <c r="C19" i="1"/>
  <c r="F19" i="1" l="1"/>
  <c r="I19" i="1"/>
  <c r="J19" i="1" s="1"/>
  <c r="H19" i="1"/>
  <c r="D20" i="1"/>
  <c r="G20" i="1" s="1"/>
  <c r="B20" i="1"/>
  <c r="E20" i="1" l="1"/>
  <c r="C20" i="1"/>
  <c r="F20" i="1" l="1"/>
  <c r="B21" i="1" s="1"/>
  <c r="I20" i="1"/>
  <c r="J20" i="1" s="1"/>
  <c r="D21" i="1"/>
  <c r="G21" i="1" s="1"/>
  <c r="H20" i="1"/>
  <c r="C21" i="1" l="1"/>
  <c r="E21" i="1"/>
  <c r="F21" i="1" l="1"/>
  <c r="H21" i="1" s="1"/>
  <c r="I21" i="1"/>
  <c r="J21" i="1" s="1"/>
  <c r="D22" i="1"/>
  <c r="G22" i="1" s="1"/>
  <c r="B22" i="1" l="1"/>
  <c r="C22" i="1" l="1"/>
  <c r="E22" i="1"/>
  <c r="I22" i="1" l="1"/>
  <c r="J22" i="1" s="1"/>
  <c r="F22" i="1"/>
  <c r="B23" i="1" s="1"/>
  <c r="E23" i="1" l="1"/>
  <c r="H22" i="1"/>
  <c r="D23" i="1"/>
  <c r="G23" i="1" s="1"/>
  <c r="C23" i="1" l="1"/>
  <c r="I23" i="1" l="1"/>
  <c r="J23" i="1" s="1"/>
  <c r="F23" i="1"/>
  <c r="B24" i="1" l="1"/>
  <c r="D24" i="1"/>
  <c r="G24" i="1" s="1"/>
  <c r="H23" i="1"/>
  <c r="E24" i="1" l="1"/>
  <c r="C24" i="1"/>
  <c r="I24" i="1" l="1"/>
  <c r="J24" i="1" s="1"/>
  <c r="F24" i="1"/>
  <c r="H24" i="1" s="1"/>
</calcChain>
</file>

<file path=xl/sharedStrings.xml><?xml version="1.0" encoding="utf-8"?>
<sst xmlns="http://schemas.openxmlformats.org/spreadsheetml/2006/main" count="225" uniqueCount="78">
  <si>
    <t>MÉTODO DE BISECCIÓN  —  f(x) = x² − 2 = 0</t>
  </si>
  <si>
    <t>k</t>
  </si>
  <si>
    <t>aₖ</t>
  </si>
  <si>
    <t>cₖ = (a+b)/2</t>
  </si>
  <si>
    <t>bₖ</t>
  </si>
  <si>
    <t>f(aₖ)</t>
  </si>
  <si>
    <t>f(cₖ)</t>
  </si>
  <si>
    <t>f(bₖ)</t>
  </si>
  <si>
    <t>f(a)·f(c)</t>
  </si>
  <si>
    <t>Error %</t>
  </si>
  <si>
    <t>Convergencia</t>
  </si>
  <si>
    <t>Ecuación:</t>
  </si>
  <si>
    <t>f(x) = x² - 2</t>
  </si>
  <si>
    <t>Intervalo inicial:</t>
  </si>
  <si>
    <t>[a₀, b₀] = [1, 2]</t>
  </si>
  <si>
    <t>Tolerancia:</t>
  </si>
  <si>
    <t>ε &lt; 1×10⁻⁴ %</t>
  </si>
  <si>
    <t>cₖ (Reg. Falsi)</t>
  </si>
  <si>
    <t>MÉTODO DE REGULA FALSI (Falsa Posición)  —  f(x) = x² − 2 = 0</t>
  </si>
  <si>
    <t>Fórmula:</t>
  </si>
  <si>
    <t>c = a - f(a)·(b-a) / (f(b)-f(a))</t>
  </si>
  <si>
    <t>xₖ</t>
  </si>
  <si>
    <t>g(xₖ)</t>
  </si>
  <si>
    <t>MÉTODO DE PUNTO FIJO  —  f(x) = x² − 2 = 0</t>
  </si>
  <si>
    <t>f(x) = x² - 2 → x = g(x) = (x + 2)/(x + 1)</t>
  </si>
  <si>
    <t>g(x):</t>
  </si>
  <si>
    <t>g(x) = (x + 2) / (x + 1)</t>
  </si>
  <si>
    <t>Método base:</t>
  </si>
  <si>
    <t>Punto Fijo  g(x) = (x+2)/(x+1)</t>
  </si>
  <si>
    <t>Nota:</t>
  </si>
  <si>
    <t>Aitken acelera la convergencia de Punto Fijo</t>
  </si>
  <si>
    <t>⚠ AITKEN UTILIZA PUNTO FIJO (Método 3) como base. Se aplica la fórmula Δ²: p̂ₖ = pₖ - (pₖ₊₁-pₖ)² / (pₖ₊₂ - 2pₖ₊₁ + pₖ)</t>
  </si>
  <si>
    <t>f(xₖ)</t>
  </si>
  <si>
    <t>f'(xₖ)</t>
  </si>
  <si>
    <t>xₖ₊₁</t>
  </si>
  <si>
    <t>MÉTODO DE NEWTON-RAPHSON  —  f(x) = x² − 2 = 0</t>
  </si>
  <si>
    <t>f(x) = x² - 2,  f'(x) = 2x</t>
  </si>
  <si>
    <t>xₙ₊₁ = xₙ − f(xₙ)/f'(xₙ)</t>
  </si>
  <si>
    <t>punto xk: 1</t>
  </si>
  <si>
    <t>MÉTODO DE NEWTON MODIFICADO  —  f(x) = x² − 2 = 0</t>
  </si>
  <si>
    <t>f''(xₖ)</t>
  </si>
  <si>
    <t>MÉTODO DE NEWTON 2do ORDEN  —  f(x) = x² − 2 = 0</t>
  </si>
  <si>
    <t>f(x) = x² - 2,  f'(x) = 2x,  f''(x) = 2</t>
  </si>
  <si>
    <t>f''</t>
  </si>
  <si>
    <t>x_{n+1} = x_n + (-f'(x_n) + sqrt((f'(x_n))^2 - 2*f''(x_n)*f(x_n))) / f''(x_n)</t>
  </si>
  <si>
    <t>MÉTODO DE OSTROWSKY  —  f(x) = x² − 2 = 0</t>
  </si>
  <si>
    <t>xₙ₊₁ = xₙ − (f'(xₙ)/√(f'²−f·f'')) · (f/f')</t>
  </si>
  <si>
    <t>MÉTODO DE HALLEY  —  f(x) = x² − 2 = 0</t>
  </si>
  <si>
    <t>xₙ₊₁ = xₙ − f / [f' − (f''·f)/(2·f')]</t>
  </si>
  <si>
    <t>f''(x)</t>
  </si>
  <si>
    <t>MÉTODO DE SUPER HALLEY  —  f(x) = x² − 2 = 0</t>
  </si>
  <si>
    <t>xₖ₋₁ (prev)</t>
  </si>
  <si>
    <t>MÉTODO DE LA SECANTE  —  f(x) = x² − 2 = 0</t>
  </si>
  <si>
    <t>Puntos iniciales:</t>
  </si>
  <si>
    <t>x₀ = 1,  x₁ = 2</t>
  </si>
  <si>
    <t>xₙ₊₁ = xₙ − f(xₙ)·(xₙ−xₙ₋₁)/(f(xₙ)−f(xₙ₋₁))</t>
  </si>
  <si>
    <t>f(xₖ-₁)</t>
  </si>
  <si>
    <t>MÉTODO DE VON MISES  —  f(x) = x² − 2 = 0</t>
  </si>
  <si>
    <t>xₙ₊₁ = xₙ − f(xₙ) / f′(x₀)</t>
  </si>
  <si>
    <t>xₙ₊₁ = xₙ − [ 2·(f′(xₙ))² − f(xₙ)·f″(xₙ) ] / [ 2·((f′(xₙ))² − f(xₙ)·f″(xₙ)) ] · (f(xₙ) / f′(xₙ))</t>
  </si>
  <si>
    <t>MÉTODO DE CHEBYSHEV  —  f(x) = x² − 2 = 0</t>
  </si>
  <si>
    <t>xₙ₊₁ = xₙ − (f(xₙ) / f′(xₙ)) − [ (f(xₙ))² · f″(xₙ) ] / [ 2 · (f′(xₙ))³ ]</t>
  </si>
  <si>
    <t>xk</t>
  </si>
  <si>
    <t>Aitken</t>
  </si>
  <si>
    <t>⚠ AITKEN UTILIZA PUNTO FIJO (Método 3) como base. Se aplica la fórmula Δ²: p̂ₖ = pₖ - [(pₖ₊₁-pₖ)² / (pₖ₊₂ - 2pₖ₊₁ + pₖ)]</t>
  </si>
  <si>
    <t>Steffensen acelera la convergencia de Aitken</t>
  </si>
  <si>
    <t>⚠ STEFFENSEN : como base. Se aplica la fórmula Δ²: p̂ₖ = pₖ - [(pₖ₊₁-pₖ)² / (pₖ₊₂ - 2pₖ₊₁ + pₖ)]</t>
  </si>
  <si>
    <t xml:space="preserve">                                                                                                                   MÉTODO DE AITKEN (Δ²)  —  f(x) = x² − 2 = 0</t>
  </si>
  <si>
    <t xml:space="preserve">                                                                                MÉTODO DE Steffensen   —  f(x) = x² − 2 = 0</t>
  </si>
  <si>
    <t>FORMULA:</t>
  </si>
  <si>
    <r>
      <t>C</t>
    </r>
    <r>
      <rPr>
        <vertAlign val="subscript"/>
        <sz val="12"/>
        <color theme="1"/>
        <rFont val="Arial"/>
        <family val="2"/>
      </rPr>
      <t xml:space="preserve">N </t>
    </r>
    <r>
      <rPr>
        <sz val="12"/>
        <color theme="1"/>
        <rFont val="Arial"/>
        <family val="2"/>
      </rPr>
      <t>= (aₙ + bₙ) / 2</t>
    </r>
  </si>
  <si>
    <r>
      <t>f'(x</t>
    </r>
    <r>
      <rPr>
        <vertAlign val="subscript"/>
        <sz val="9"/>
        <color rgb="FF1A1A2E"/>
        <rFont val="Calibri"/>
        <family val="2"/>
      </rPr>
      <t>0</t>
    </r>
    <r>
      <rPr>
        <sz val="9"/>
        <color rgb="FF1A1A2E"/>
        <rFont val="Calibri"/>
        <family val="2"/>
      </rPr>
      <t>)</t>
    </r>
  </si>
  <si>
    <r>
      <t>f(x) = x² - 2,   f'(x</t>
    </r>
    <r>
      <rPr>
        <vertAlign val="subscript"/>
        <sz val="9"/>
        <color rgb="FF1A1A2E"/>
        <rFont val="Calibri"/>
        <family val="2"/>
      </rPr>
      <t>0</t>
    </r>
    <r>
      <rPr>
        <sz val="9"/>
        <color rgb="FF1A1A2E"/>
        <rFont val="Calibri"/>
        <family val="2"/>
      </rPr>
      <t>) = 2</t>
    </r>
  </si>
  <si>
    <t>xₙ₊₁ = xₙ - [(f(xₙ)·f'(xₙ))/((f'(xₙ))² - f(xₙ)·f''(xₙ))]</t>
  </si>
  <si>
    <t xml:space="preserve">                                                                      MÉTODO DE PUNTO FIJO  —  f(x) = x² − 2 = 0</t>
  </si>
  <si>
    <t xml:space="preserve">                                                                                                        MÉTODO DE PUNTO FIJO  —  f(x) = x² − 2 = 0</t>
  </si>
  <si>
    <t xml:space="preserve">                                                                          MÉTODO DE AITKEN (Δ²)  —  f(x) = x² − 2 = 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</si>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</sst>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3"/>
      <color rgb="FFFFFFFF"/>
      <name val="Calibri"/>
      <family val="2"/>
    </font>
    <font>
      <sz val="9"/>
      <color rgb="FF1A1A2E"/>
      <name val="Calibri"/>
      <family val="2"/>
    </font>
    <font>
      <b/>
      <sz val="9"/>
      <color rgb="FFFFFFFF"/>
      <name val="Calibri"/>
      <family val="2"/>
    </font>
    <font>
      <sz val="9"/>
      <color rgb="FF1A1A2E"/>
      <name val="Calibri"/>
      <family val="2"/>
    </font>
    <font>
      <b/>
      <sz val="13"/>
      <color rgb="FFFFFFFF"/>
      <name val="Calibri"/>
      <family val="2"/>
    </font>
    <font>
      <b/>
      <sz val="9"/>
      <color rgb="FFFFFFFF"/>
      <name val="Calibri"/>
      <family val="2"/>
    </font>
    <font>
      <i/>
      <sz val="8"/>
      <color rgb="FF1A1A2E"/>
      <name val="Calibri"/>
      <family val="2"/>
    </font>
    <font>
      <sz val="11"/>
      <name val="Calibri"/>
      <family val="2"/>
    </font>
    <font>
      <vertAlign val="subscript"/>
      <sz val="9"/>
      <color rgb="FF1A1A2E"/>
      <name val="Calibri"/>
      <family val="2"/>
    </font>
    <font>
      <sz val="12"/>
      <color theme="1"/>
      <name val="Arial"/>
      <family val="2"/>
    </font>
    <font>
      <vertAlign val="subscript"/>
      <sz val="12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mediumGray">
        <fgColor rgb="FF1A5276"/>
        <bgColor rgb="FF1F4E79"/>
      </patternFill>
    </fill>
    <fill>
      <patternFill patternType="solid">
        <fgColor rgb="FFD6EAF8"/>
        <bgColor rgb="FFD2E4F8"/>
      </patternFill>
    </fill>
    <fill>
      <patternFill patternType="solid">
        <fgColor rgb="FFEBF5FB"/>
        <bgColor rgb="FFEBF5FF"/>
      </patternFill>
    </fill>
    <fill>
      <patternFill patternType="solid">
        <fgColor rgb="FF2E86C1"/>
        <bgColor rgb="FF2471A3"/>
      </patternFill>
    </fill>
    <fill>
      <patternFill patternType="solid">
        <fgColor rgb="FFD5F5E3"/>
        <bgColor rgb="FFD1F2EB"/>
      </patternFill>
    </fill>
    <fill>
      <patternFill patternType="solid">
        <fgColor rgb="FFEAFAF1"/>
        <bgColor rgb="FFE8F8F5"/>
      </patternFill>
    </fill>
    <fill>
      <patternFill patternType="solid">
        <fgColor rgb="FF147F57"/>
        <bgColor rgb="FF148F77"/>
      </patternFill>
    </fill>
    <fill>
      <patternFill patternType="solid">
        <fgColor rgb="FF27AE60"/>
        <bgColor rgb="FF239B56"/>
      </patternFill>
    </fill>
    <fill>
      <patternFill patternType="solid">
        <fgColor rgb="FFE8DAEF"/>
        <bgColor rgb="FFD6DBFF"/>
      </patternFill>
    </fill>
    <fill>
      <patternFill patternType="mediumGray">
        <fgColor rgb="FFF4EBFD"/>
        <bgColor rgb="FFF5EEF8"/>
      </patternFill>
    </fill>
    <fill>
      <patternFill patternType="solid">
        <fgColor rgb="FF6C3483"/>
        <bgColor rgb="FF7D3C98"/>
      </patternFill>
    </fill>
    <fill>
      <patternFill patternType="solid">
        <fgColor rgb="FF8E44AD"/>
        <bgColor rgb="FF7D3C98"/>
      </patternFill>
    </fill>
    <fill>
      <patternFill patternType="solid">
        <fgColor rgb="FFD1F2EB"/>
        <bgColor rgb="FFD5F5E3"/>
      </patternFill>
    </fill>
    <fill>
      <patternFill patternType="solid">
        <fgColor rgb="FFE8F8F5"/>
        <bgColor rgb="FFEAFAF1"/>
      </patternFill>
    </fill>
    <fill>
      <patternFill patternType="solid">
        <fgColor rgb="FF1ABC9C"/>
        <bgColor rgb="FF27AE60"/>
      </patternFill>
    </fill>
    <fill>
      <patternFill patternType="solid">
        <fgColor rgb="FFD6DBFF"/>
        <bgColor rgb="FFD2E4F8"/>
      </patternFill>
    </fill>
    <fill>
      <patternFill patternType="solid">
        <fgColor rgb="FFEEF0FF"/>
        <bgColor rgb="FFEBF3FB"/>
      </patternFill>
    </fill>
    <fill>
      <patternFill patternType="solid">
        <fgColor rgb="FF1F3A93"/>
        <bgColor rgb="FF1F4E79"/>
      </patternFill>
    </fill>
    <fill>
      <patternFill patternType="solid">
        <fgColor rgb="FF3455DB"/>
        <bgColor rgb="FF2471A3"/>
      </patternFill>
    </fill>
    <fill>
      <patternFill patternType="solid">
        <fgColor rgb="FF922B21"/>
        <bgColor rgb="FF7B241C"/>
      </patternFill>
    </fill>
    <fill>
      <patternFill patternType="solid">
        <fgColor rgb="FFE74C3C"/>
        <bgColor rgb="FFC0392B"/>
      </patternFill>
    </fill>
    <fill>
      <patternFill patternType="solid">
        <fgColor rgb="FFFADBD8"/>
        <bgColor rgb="FFFFE8CC"/>
      </patternFill>
    </fill>
    <fill>
      <patternFill patternType="solid">
        <fgColor rgb="FFFDEDEC"/>
        <bgColor rgb="FFFFF0F0"/>
      </patternFill>
    </fill>
    <fill>
      <patternFill patternType="solid">
        <fgColor rgb="FF0D553B"/>
        <bgColor rgb="FF174969"/>
      </patternFill>
    </fill>
    <fill>
      <patternFill patternType="solid">
        <fgColor rgb="FF239B56"/>
        <bgColor rgb="FF27AE6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EEF8"/>
        <bgColor rgb="FFF4EBFD"/>
      </patternFill>
    </fill>
    <fill>
      <patternFill patternType="solid">
        <fgColor rgb="FF4A235A"/>
        <bgColor rgb="FF6C3483"/>
      </patternFill>
    </fill>
    <fill>
      <patternFill patternType="solid">
        <fgColor rgb="FF7D3C98"/>
        <bgColor rgb="FF8E44AD"/>
      </patternFill>
    </fill>
    <fill>
      <patternFill patternType="solid">
        <fgColor rgb="FFE8F5D6"/>
        <bgColor rgb="FFF0FAE8"/>
      </patternFill>
    </fill>
    <fill>
      <patternFill patternType="solid">
        <fgColor rgb="FFF0FAE8"/>
        <bgColor rgb="FFEAFAF1"/>
      </patternFill>
    </fill>
    <fill>
      <patternFill patternType="solid">
        <fgColor rgb="FF4D6A1F"/>
        <bgColor rgb="FF784212"/>
      </patternFill>
    </fill>
    <fill>
      <patternFill patternType="solid">
        <fgColor rgb="FF7CB83A"/>
        <bgColor rgb="FF27AE60"/>
      </patternFill>
    </fill>
    <fill>
      <patternFill patternType="solid">
        <fgColor rgb="FFFEF5F5"/>
        <bgColor rgb="FFFFF0F0"/>
      </patternFill>
    </fill>
    <fill>
      <patternFill patternType="solid">
        <fgColor rgb="FF7B241C"/>
        <bgColor rgb="FF922B21"/>
      </patternFill>
    </fill>
    <fill>
      <patternFill patternType="solid">
        <fgColor rgb="FFC0392B"/>
        <bgColor rgb="FFE74C3C"/>
      </patternFill>
    </fill>
    <fill>
      <patternFill patternType="darkGray">
        <fgColor rgb="FF0D553B"/>
        <bgColor rgb="FF174969"/>
      </patternFill>
    </fill>
    <fill>
      <patternFill patternType="solid">
        <fgColor rgb="FF148F77"/>
        <bgColor rgb="FF147F57"/>
      </patternFill>
    </fill>
    <fill>
      <patternFill patternType="solid">
        <fgColor rgb="FF1A5276"/>
        <bgColor rgb="FF1F4E79"/>
      </patternFill>
    </fill>
    <fill>
      <patternFill patternType="solid">
        <fgColor rgb="FF2471A3"/>
        <bgColor rgb="FF2E86C1"/>
      </patternFill>
    </fill>
    <fill>
      <patternFill patternType="solid">
        <fgColor rgb="FFD3EAFD"/>
        <bgColor rgb="FFEBF5FF"/>
      </patternFill>
    </fill>
    <fill>
      <patternFill patternType="solid">
        <fgColor rgb="FFFFFF00"/>
        <bgColor indexed="64"/>
      </patternFill>
    </fill>
    <fill>
      <patternFill patternType="solid">
        <fgColor rgb="FFD2E4F8"/>
        <bgColor rgb="FFD6EAF8"/>
      </patternFill>
    </fill>
    <fill>
      <patternFill patternType="solid">
        <fgColor rgb="FF174969"/>
        <bgColor rgb="FF1F4E79"/>
      </patternFill>
    </fill>
    <fill>
      <patternFill patternType="solid">
        <fgColor rgb="FFFFFF00"/>
        <bgColor rgb="FFD5F5E3"/>
      </patternFill>
    </fill>
    <fill>
      <patternFill patternType="solid">
        <fgColor rgb="FFFFFF00"/>
        <bgColor rgb="FFD6DBFF"/>
      </patternFill>
    </fill>
    <fill>
      <patternFill patternType="solid">
        <fgColor rgb="FFD1F2EB"/>
        <bgColor rgb="FFD6DBFF"/>
      </patternFill>
    </fill>
    <fill>
      <patternFill patternType="solid">
        <fgColor theme="0"/>
        <bgColor rgb="FFEAFAF1"/>
      </patternFill>
    </fill>
    <fill>
      <patternFill patternType="solid">
        <fgColor theme="0"/>
        <bgColor rgb="FFD5F5E3"/>
      </patternFill>
    </fill>
    <fill>
      <patternFill patternType="solid">
        <fgColor theme="0"/>
        <bgColor rgb="FFD6DBFF"/>
      </patternFill>
    </fill>
    <fill>
      <patternFill patternType="solid">
        <fgColor rgb="FFD3EAFD"/>
        <bgColor indexed="64"/>
      </patternFill>
    </fill>
    <fill>
      <patternFill patternType="solid">
        <fgColor rgb="FFD3EAFD"/>
        <bgColor rgb="FFD6DBFF"/>
      </patternFill>
    </fill>
  </fills>
  <borders count="2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3455D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E74C3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39B56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7D3C9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7CB83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C0392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48F7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471A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A5276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/>
      <top style="thin">
        <color indexed="64"/>
      </top>
      <bottom style="thin">
        <color rgb="FFCCCCCC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 style="thin">
        <color rgb="FFCCCCCC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/>
      <diagonal/>
    </border>
    <border>
      <left style="thin">
        <color rgb="FFCCCCCC"/>
      </left>
      <right style="thin">
        <color indexed="64"/>
      </right>
      <top style="thin">
        <color indexed="64"/>
      </top>
      <bottom style="thin">
        <color rgb="FFCCCCCC"/>
      </bottom>
      <diagonal/>
    </border>
    <border>
      <left style="thin">
        <color indexed="64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right" vertical="center"/>
    </xf>
    <xf numFmtId="0" fontId="4" fillId="14" borderId="0" xfId="0" applyFont="1" applyFill="1" applyAlignment="1">
      <alignment horizontal="left" vertical="center"/>
    </xf>
    <xf numFmtId="0" fontId="7" fillId="14" borderId="3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right" vertical="center"/>
    </xf>
    <xf numFmtId="0" fontId="4" fillId="17" borderId="0" xfId="0" applyFont="1" applyFill="1" applyAlignment="1">
      <alignment horizontal="left" vertical="center"/>
    </xf>
    <xf numFmtId="0" fontId="6" fillId="20" borderId="4" xfId="0" applyFont="1" applyFill="1" applyBorder="1" applyAlignment="1">
      <alignment horizontal="center" vertical="center" wrapText="1"/>
    </xf>
    <xf numFmtId="0" fontId="8" fillId="20" borderId="4" xfId="0" applyFont="1" applyFill="1" applyBorder="1" applyAlignment="1">
      <alignment horizontal="center" vertical="center" wrapText="1"/>
    </xf>
    <xf numFmtId="0" fontId="6" fillId="22" borderId="0" xfId="0" applyFont="1" applyFill="1" applyAlignment="1">
      <alignment horizontal="right" vertical="center"/>
    </xf>
    <xf numFmtId="0" fontId="4" fillId="23" borderId="0" xfId="0" applyFont="1" applyFill="1" applyAlignment="1">
      <alignment horizontal="left" vertical="center"/>
    </xf>
    <xf numFmtId="0" fontId="6" fillId="22" borderId="5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26" borderId="0" xfId="0" applyFont="1" applyFill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6" fillId="26" borderId="6" xfId="0" applyFont="1" applyFill="1" applyBorder="1" applyAlignment="1">
      <alignment horizontal="center" vertical="center" wrapText="1"/>
    </xf>
    <xf numFmtId="0" fontId="5" fillId="21" borderId="0" xfId="0" applyFont="1" applyFill="1" applyAlignment="1">
      <alignment vertical="center"/>
    </xf>
    <xf numFmtId="0" fontId="4" fillId="28" borderId="1" xfId="0" applyFont="1" applyFill="1" applyBorder="1" applyAlignment="1">
      <alignment horizontal="center" vertical="center"/>
    </xf>
    <xf numFmtId="0" fontId="6" fillId="30" borderId="0" xfId="0" applyFont="1" applyFill="1" applyAlignment="1">
      <alignment horizontal="right" vertical="center"/>
    </xf>
    <xf numFmtId="0" fontId="4" fillId="10" borderId="0" xfId="0" applyFont="1" applyFill="1" applyAlignment="1">
      <alignment horizontal="left" vertical="center"/>
    </xf>
    <xf numFmtId="0" fontId="6" fillId="30" borderId="8" xfId="0" applyFont="1" applyFill="1" applyBorder="1" applyAlignment="1">
      <alignment horizontal="center" vertical="center" wrapText="1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6" fillId="34" borderId="0" xfId="0" applyFont="1" applyFill="1" applyAlignment="1">
      <alignment horizontal="right" vertical="center"/>
    </xf>
    <xf numFmtId="0" fontId="4" fillId="31" borderId="0" xfId="0" applyFont="1" applyFill="1" applyAlignment="1">
      <alignment horizontal="left" vertical="center"/>
    </xf>
    <xf numFmtId="0" fontId="6" fillId="34" borderId="9" xfId="0" applyFont="1" applyFill="1" applyBorder="1" applyAlignment="1">
      <alignment horizontal="center" vertical="center" wrapText="1"/>
    </xf>
    <xf numFmtId="0" fontId="4" fillId="35" borderId="1" xfId="0" applyFont="1" applyFill="1" applyBorder="1" applyAlignment="1">
      <alignment horizontal="center" vertical="center"/>
    </xf>
    <xf numFmtId="0" fontId="6" fillId="37" borderId="0" xfId="0" applyFont="1" applyFill="1" applyAlignment="1">
      <alignment horizontal="right" vertical="center"/>
    </xf>
    <xf numFmtId="0" fontId="6" fillId="37" borderId="10" xfId="0" applyFont="1" applyFill="1" applyBorder="1" applyAlignment="1">
      <alignment horizontal="center" vertical="center" wrapText="1"/>
    </xf>
    <xf numFmtId="0" fontId="6" fillId="39" borderId="0" xfId="0" applyFont="1" applyFill="1" applyAlignment="1">
      <alignment horizontal="right" vertical="center"/>
    </xf>
    <xf numFmtId="0" fontId="6" fillId="39" borderId="1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1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6" fillId="41" borderId="12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/>
    </xf>
    <xf numFmtId="0" fontId="0" fillId="4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44" borderId="1" xfId="0" applyFont="1" applyFill="1" applyBorder="1" applyAlignment="1">
      <alignment horizontal="center" vertical="center"/>
    </xf>
    <xf numFmtId="0" fontId="6" fillId="40" borderId="0" xfId="0" applyFont="1" applyFill="1" applyAlignment="1">
      <alignment horizontal="right" vertical="center"/>
    </xf>
    <xf numFmtId="0" fontId="4" fillId="44" borderId="0" xfId="0" applyFont="1" applyFill="1" applyAlignment="1">
      <alignment horizontal="left" vertical="center"/>
    </xf>
    <xf numFmtId="0" fontId="6" fillId="40" borderId="13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0" fillId="43" borderId="0" xfId="0" applyFill="1"/>
    <xf numFmtId="0" fontId="2" fillId="47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7" fillId="50" borderId="3" xfId="0" applyFont="1" applyFill="1" applyBorder="1" applyAlignment="1">
      <alignment horizontal="left" vertical="center"/>
    </xf>
    <xf numFmtId="0" fontId="0" fillId="0" borderId="0" xfId="0" applyFill="1" applyBorder="1"/>
    <xf numFmtId="0" fontId="2" fillId="51" borderId="14" xfId="0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center" vertical="center"/>
    </xf>
    <xf numFmtId="0" fontId="4" fillId="14" borderId="15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/>
    </xf>
    <xf numFmtId="0" fontId="7" fillId="14" borderId="17" xfId="0" applyFont="1" applyFill="1" applyBorder="1" applyAlignment="1">
      <alignment horizontal="left" vertical="center"/>
    </xf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0" fillId="52" borderId="19" xfId="0" applyFill="1" applyBorder="1"/>
    <xf numFmtId="0" fontId="0" fillId="52" borderId="0" xfId="0" applyFill="1" applyBorder="1"/>
    <xf numFmtId="0" fontId="1" fillId="8" borderId="19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4" fillId="14" borderId="20" xfId="0" applyFont="1" applyFill="1" applyBorder="1" applyAlignment="1">
      <alignment horizontal="left" vertical="center"/>
    </xf>
    <xf numFmtId="0" fontId="6" fillId="16" borderId="19" xfId="0" applyFont="1" applyFill="1" applyBorder="1" applyAlignment="1">
      <alignment horizontal="right" vertical="center"/>
    </xf>
    <xf numFmtId="0" fontId="4" fillId="14" borderId="0" xfId="0" applyFont="1" applyFill="1" applyBorder="1" applyAlignment="1">
      <alignment horizontal="left" vertical="center"/>
    </xf>
    <xf numFmtId="0" fontId="6" fillId="16" borderId="0" xfId="0" applyFont="1" applyFill="1" applyBorder="1" applyAlignment="1">
      <alignment horizontal="right" vertical="center"/>
    </xf>
    <xf numFmtId="0" fontId="7" fillId="14" borderId="21" xfId="0" applyFont="1" applyFill="1" applyBorder="1" applyAlignment="1">
      <alignment horizontal="left" vertical="center"/>
    </xf>
    <xf numFmtId="0" fontId="7" fillId="14" borderId="22" xfId="0" applyFont="1" applyFill="1" applyBorder="1" applyAlignment="1">
      <alignment horizontal="left" vertical="center"/>
    </xf>
    <xf numFmtId="0" fontId="7" fillId="14" borderId="23" xfId="0" applyFont="1" applyFill="1" applyBorder="1" applyAlignment="1">
      <alignment horizontal="left" vertical="center"/>
    </xf>
    <xf numFmtId="0" fontId="7" fillId="14" borderId="24" xfId="0" applyFont="1" applyFill="1" applyBorder="1" applyAlignment="1">
      <alignment horizontal="left" vertical="center"/>
    </xf>
    <xf numFmtId="0" fontId="4" fillId="14" borderId="25" xfId="0" applyFont="1" applyFill="1" applyBorder="1" applyAlignment="1">
      <alignment horizontal="center" vertical="center"/>
    </xf>
    <xf numFmtId="0" fontId="7" fillId="14" borderId="26" xfId="0" applyFont="1" applyFill="1" applyBorder="1" applyAlignment="1">
      <alignment horizontal="left" vertical="center"/>
    </xf>
    <xf numFmtId="0" fontId="4" fillId="49" borderId="27" xfId="0" applyFont="1" applyFill="1" applyBorder="1" applyAlignment="1">
      <alignment horizontal="center" vertical="center"/>
    </xf>
    <xf numFmtId="0" fontId="7" fillId="50" borderId="21" xfId="0" applyFont="1" applyFill="1" applyBorder="1" applyAlignment="1">
      <alignment horizontal="left" vertical="center"/>
    </xf>
    <xf numFmtId="0" fontId="4" fillId="50" borderId="27" xfId="0" applyFont="1" applyFill="1" applyBorder="1" applyAlignment="1">
      <alignment horizontal="center" vertical="center"/>
    </xf>
    <xf numFmtId="0" fontId="4" fillId="50" borderId="28" xfId="0" applyFont="1" applyFill="1" applyBorder="1" applyAlignment="1">
      <alignment horizontal="center" vertical="center"/>
    </xf>
    <xf numFmtId="0" fontId="4" fillId="14" borderId="28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2" fillId="14" borderId="0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" fillId="8" borderId="0" xfId="0" applyFont="1" applyFill="1" applyAlignment="1">
      <alignment horizontal="center" vertical="center"/>
    </xf>
    <xf numFmtId="0" fontId="3" fillId="22" borderId="5" xfId="0" applyFont="1" applyFill="1" applyBorder="1" applyAlignment="1">
      <alignment horizontal="center" vertical="center" wrapText="1"/>
    </xf>
    <xf numFmtId="0" fontId="2" fillId="2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0" fillId="27" borderId="7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5" fillId="25" borderId="0" xfId="0" applyFont="1" applyFill="1" applyAlignment="1">
      <alignment horizontal="center" vertical="center"/>
    </xf>
    <xf numFmtId="0" fontId="5" fillId="45" borderId="0" xfId="0" applyFont="1" applyFill="1" applyAlignment="1">
      <alignment horizontal="center" vertical="center"/>
    </xf>
    <xf numFmtId="0" fontId="5" fillId="33" borderId="0" xfId="0" applyFont="1" applyFill="1" applyAlignment="1">
      <alignment horizontal="center" vertical="center"/>
    </xf>
    <xf numFmtId="0" fontId="5" fillId="36" borderId="0" xfId="0" applyFont="1" applyFill="1" applyAlignment="1">
      <alignment horizontal="center" vertical="center"/>
    </xf>
    <xf numFmtId="0" fontId="5" fillId="29" borderId="0" xfId="0" applyFont="1" applyFill="1" applyAlignment="1">
      <alignment horizontal="center" vertical="center"/>
    </xf>
    <xf numFmtId="0" fontId="5" fillId="38" borderId="0" xfId="0" applyFont="1" applyFill="1" applyAlignment="1">
      <alignment horizontal="center" vertical="center"/>
    </xf>
    <xf numFmtId="0" fontId="5" fillId="4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3EAFD"/>
      <color rgb="FFD1F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A1A5-C3A9-41DB-A751-B09690EF4AC7}">
  <dimension ref="A1:J27"/>
  <sheetViews>
    <sheetView workbookViewId="0">
      <selection activeCell="I26" sqref="I26"/>
    </sheetView>
  </sheetViews>
  <sheetFormatPr baseColWidth="10" defaultRowHeight="15" x14ac:dyDescent="0.25"/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s="2">
        <v>0</v>
      </c>
      <c r="B2" s="2">
        <v>1</v>
      </c>
      <c r="C2" s="2">
        <f t="shared" ref="C2:C24" si="0">(B2+D2)/2</f>
        <v>1.5</v>
      </c>
      <c r="D2" s="2">
        <v>2</v>
      </c>
      <c r="E2" s="2">
        <f t="shared" ref="E2:G4" si="1">B2^2-2</f>
        <v>-1</v>
      </c>
      <c r="F2" s="2">
        <f t="shared" si="1"/>
        <v>0.25</v>
      </c>
      <c r="G2" s="2">
        <f t="shared" si="1"/>
        <v>2</v>
      </c>
      <c r="H2" s="2">
        <f t="shared" ref="H2:H4" si="2">E2*F2</f>
        <v>-0.25</v>
      </c>
      <c r="I2" s="2"/>
      <c r="J2" s="2"/>
    </row>
    <row r="3" spans="1:10" x14ac:dyDescent="0.25">
      <c r="A3" s="1">
        <v>1</v>
      </c>
      <c r="B3" s="1">
        <f t="shared" ref="B3:B4" si="3">IF(E2*F2&lt;0,B2,C2)</f>
        <v>1</v>
      </c>
      <c r="C3" s="1">
        <f t="shared" si="0"/>
        <v>1.25</v>
      </c>
      <c r="D3" s="1">
        <f t="shared" ref="D3:D4" si="4">IF(E2*F2&lt;0,C2,D2)</f>
        <v>1.5</v>
      </c>
      <c r="E3" s="1">
        <f t="shared" si="1"/>
        <v>-1</v>
      </c>
      <c r="F3" s="1">
        <f t="shared" si="1"/>
        <v>-0.4375</v>
      </c>
      <c r="G3" s="1">
        <f t="shared" si="1"/>
        <v>0.25</v>
      </c>
      <c r="H3" s="1">
        <f t="shared" si="2"/>
        <v>0.4375</v>
      </c>
      <c r="I3" s="1">
        <f t="shared" ref="I3:I4" si="5">ABS((C3-C2)/C3)*100</f>
        <v>20</v>
      </c>
      <c r="J3" s="1" t="str">
        <f>IF(I3&lt;0.00001,"SI","NO")</f>
        <v>NO</v>
      </c>
    </row>
    <row r="4" spans="1:10" x14ac:dyDescent="0.25">
      <c r="A4" s="2">
        <v>2</v>
      </c>
      <c r="B4" s="2">
        <f t="shared" si="3"/>
        <v>1.25</v>
      </c>
      <c r="C4" s="2">
        <f t="shared" si="0"/>
        <v>1.375</v>
      </c>
      <c r="D4" s="2">
        <f t="shared" si="4"/>
        <v>1.5</v>
      </c>
      <c r="E4" s="2">
        <f t="shared" si="1"/>
        <v>-0.4375</v>
      </c>
      <c r="F4" s="2">
        <f t="shared" si="1"/>
        <v>-0.109375</v>
      </c>
      <c r="G4" s="2">
        <f t="shared" si="1"/>
        <v>0.25</v>
      </c>
      <c r="H4" s="2">
        <f t="shared" si="2"/>
        <v>4.78515625E-2</v>
      </c>
      <c r="I4" s="2">
        <f t="shared" si="5"/>
        <v>9.0909090909090917</v>
      </c>
      <c r="J4" s="1" t="str">
        <f>IF(I4&lt;0.00001,"SI","NO")</f>
        <v>NO</v>
      </c>
    </row>
    <row r="5" spans="1:10" x14ac:dyDescent="0.25">
      <c r="A5" s="1">
        <v>3</v>
      </c>
      <c r="B5" s="2">
        <f t="shared" ref="B5:B22" si="6">IF(E4*F4&lt;0,B4,C4)</f>
        <v>1.375</v>
      </c>
      <c r="C5" s="2">
        <f t="shared" si="0"/>
        <v>1.4375</v>
      </c>
      <c r="D5" s="2">
        <f t="shared" ref="D5:D22" si="7">IF(E4*F4&lt;0,C4,D4)</f>
        <v>1.5</v>
      </c>
      <c r="E5" s="2">
        <f t="shared" ref="E5:E22" si="8">B5^2-2</f>
        <v>-0.109375</v>
      </c>
      <c r="F5" s="2">
        <f t="shared" ref="F5:F22" si="9">C5^2-2</f>
        <v>6.640625E-2</v>
      </c>
      <c r="G5" s="2">
        <f t="shared" ref="G5:G22" si="10">D5^2-2</f>
        <v>0.25</v>
      </c>
      <c r="H5" s="2">
        <f t="shared" ref="H5:H22" si="11">E5*F5</f>
        <v>-7.26318359375E-3</v>
      </c>
      <c r="I5" s="2">
        <f t="shared" ref="I5:I22" si="12">ABS((C5-C4)/C5)*100</f>
        <v>4.3478260869565215</v>
      </c>
      <c r="J5" s="1" t="str">
        <f t="shared" ref="J5:J24" si="13">IF(I5&lt;0.00001,"SI","NO")</f>
        <v>NO</v>
      </c>
    </row>
    <row r="6" spans="1:10" x14ac:dyDescent="0.25">
      <c r="A6" s="2">
        <v>4</v>
      </c>
      <c r="B6" s="2">
        <f t="shared" si="6"/>
        <v>1.375</v>
      </c>
      <c r="C6" s="2">
        <f t="shared" si="0"/>
        <v>1.40625</v>
      </c>
      <c r="D6" s="2">
        <f t="shared" si="7"/>
        <v>1.4375</v>
      </c>
      <c r="E6" s="2">
        <f t="shared" si="8"/>
        <v>-0.109375</v>
      </c>
      <c r="F6" s="2">
        <f t="shared" si="9"/>
        <v>-2.24609375E-2</v>
      </c>
      <c r="G6" s="2">
        <f t="shared" si="10"/>
        <v>6.640625E-2</v>
      </c>
      <c r="H6" s="2">
        <f t="shared" si="11"/>
        <v>2.4566650390625E-3</v>
      </c>
      <c r="I6" s="2">
        <f t="shared" si="12"/>
        <v>2.2222222222222223</v>
      </c>
      <c r="J6" s="1" t="str">
        <f t="shared" si="13"/>
        <v>NO</v>
      </c>
    </row>
    <row r="7" spans="1:10" x14ac:dyDescent="0.25">
      <c r="A7" s="1">
        <v>5</v>
      </c>
      <c r="B7" s="2">
        <f t="shared" si="6"/>
        <v>1.40625</v>
      </c>
      <c r="C7" s="2">
        <f t="shared" si="0"/>
        <v>1.421875</v>
      </c>
      <c r="D7" s="2">
        <f t="shared" si="7"/>
        <v>1.4375</v>
      </c>
      <c r="E7" s="2">
        <f t="shared" si="8"/>
        <v>-2.24609375E-2</v>
      </c>
      <c r="F7" s="2">
        <f t="shared" si="9"/>
        <v>2.1728515625E-2</v>
      </c>
      <c r="G7" s="2">
        <f t="shared" si="10"/>
        <v>6.640625E-2</v>
      </c>
      <c r="H7" s="2">
        <f t="shared" si="11"/>
        <v>-4.8804283142089844E-4</v>
      </c>
      <c r="I7" s="2">
        <f t="shared" si="12"/>
        <v>1.098901098901099</v>
      </c>
      <c r="J7" s="1" t="str">
        <f t="shared" si="13"/>
        <v>NO</v>
      </c>
    </row>
    <row r="8" spans="1:10" x14ac:dyDescent="0.25">
      <c r="A8" s="2">
        <v>6</v>
      </c>
      <c r="B8" s="2">
        <f t="shared" si="6"/>
        <v>1.40625</v>
      </c>
      <c r="C8" s="2">
        <f t="shared" si="0"/>
        <v>1.4140625</v>
      </c>
      <c r="D8" s="2">
        <f t="shared" si="7"/>
        <v>1.421875</v>
      </c>
      <c r="E8" s="2">
        <f t="shared" si="8"/>
        <v>-2.24609375E-2</v>
      </c>
      <c r="F8" s="2">
        <f t="shared" si="9"/>
        <v>-4.2724609375E-4</v>
      </c>
      <c r="G8" s="2">
        <f t="shared" si="10"/>
        <v>2.1728515625E-2</v>
      </c>
      <c r="H8" s="2">
        <f t="shared" si="11"/>
        <v>9.5963478088378906E-6</v>
      </c>
      <c r="I8" s="2">
        <f t="shared" si="12"/>
        <v>0.55248618784530379</v>
      </c>
      <c r="J8" s="1" t="str">
        <f t="shared" si="13"/>
        <v>NO</v>
      </c>
    </row>
    <row r="9" spans="1:10" x14ac:dyDescent="0.25">
      <c r="A9" s="1">
        <v>7</v>
      </c>
      <c r="B9" s="2">
        <f t="shared" si="6"/>
        <v>1.4140625</v>
      </c>
      <c r="C9" s="2">
        <f t="shared" si="0"/>
        <v>1.41796875</v>
      </c>
      <c r="D9" s="2">
        <f t="shared" si="7"/>
        <v>1.421875</v>
      </c>
      <c r="E9" s="2">
        <f t="shared" si="8"/>
        <v>-4.2724609375E-4</v>
      </c>
      <c r="F9" s="2">
        <f t="shared" si="9"/>
        <v>1.06353759765625E-2</v>
      </c>
      <c r="G9" s="2">
        <f t="shared" si="10"/>
        <v>2.1728515625E-2</v>
      </c>
      <c r="H9" s="2">
        <f t="shared" si="11"/>
        <v>-4.5439228415489197E-6</v>
      </c>
      <c r="I9" s="2">
        <f t="shared" si="12"/>
        <v>0.27548209366391185</v>
      </c>
      <c r="J9" s="1" t="str">
        <f t="shared" si="13"/>
        <v>NO</v>
      </c>
    </row>
    <row r="10" spans="1:10" x14ac:dyDescent="0.25">
      <c r="A10" s="2">
        <v>8</v>
      </c>
      <c r="B10" s="2">
        <f t="shared" si="6"/>
        <v>1.4140625</v>
      </c>
      <c r="C10" s="2">
        <f t="shared" si="0"/>
        <v>1.416015625</v>
      </c>
      <c r="D10" s="2">
        <f t="shared" si="7"/>
        <v>1.41796875</v>
      </c>
      <c r="E10" s="2">
        <f t="shared" si="8"/>
        <v>-4.2724609375E-4</v>
      </c>
      <c r="F10" s="2">
        <f t="shared" si="9"/>
        <v>5.100250244140625E-3</v>
      </c>
      <c r="G10" s="2">
        <f t="shared" si="10"/>
        <v>1.06353759765625E-2</v>
      </c>
      <c r="H10" s="2">
        <f t="shared" si="11"/>
        <v>-2.1790619939565659E-6</v>
      </c>
      <c r="I10" s="2">
        <f t="shared" si="12"/>
        <v>0.13793103448275862</v>
      </c>
      <c r="J10" s="1" t="str">
        <f t="shared" si="13"/>
        <v>NO</v>
      </c>
    </row>
    <row r="11" spans="1:10" x14ac:dyDescent="0.25">
      <c r="A11" s="1">
        <v>9</v>
      </c>
      <c r="B11" s="2">
        <f t="shared" si="6"/>
        <v>1.4140625</v>
      </c>
      <c r="C11" s="2">
        <f t="shared" si="0"/>
        <v>1.4150390625</v>
      </c>
      <c r="D11" s="2">
        <f t="shared" si="7"/>
        <v>1.416015625</v>
      </c>
      <c r="E11" s="2">
        <f t="shared" si="8"/>
        <v>-4.2724609375E-4</v>
      </c>
      <c r="F11" s="2">
        <f t="shared" si="9"/>
        <v>2.3355484008789063E-3</v>
      </c>
      <c r="G11" s="2">
        <f t="shared" si="10"/>
        <v>5.100250244140625E-3</v>
      </c>
      <c r="H11" s="2">
        <f t="shared" si="11"/>
        <v>-9.9785393103957176E-7</v>
      </c>
      <c r="I11" s="2">
        <f t="shared" si="12"/>
        <v>6.901311249137336E-2</v>
      </c>
      <c r="J11" s="1" t="str">
        <f t="shared" si="13"/>
        <v>NO</v>
      </c>
    </row>
    <row r="12" spans="1:10" x14ac:dyDescent="0.25">
      <c r="A12" s="2">
        <v>10</v>
      </c>
      <c r="B12" s="2">
        <f t="shared" si="6"/>
        <v>1.4140625</v>
      </c>
      <c r="C12" s="2">
        <f t="shared" si="0"/>
        <v>1.41455078125</v>
      </c>
      <c r="D12" s="2">
        <f t="shared" si="7"/>
        <v>1.4150390625</v>
      </c>
      <c r="E12" s="2">
        <f t="shared" si="8"/>
        <v>-4.2724609375E-4</v>
      </c>
      <c r="F12" s="2">
        <f t="shared" si="9"/>
        <v>9.5391273498535156E-4</v>
      </c>
      <c r="G12" s="2">
        <f t="shared" si="10"/>
        <v>2.3355484008789063E-3</v>
      </c>
      <c r="H12" s="2">
        <f t="shared" si="11"/>
        <v>-4.0755548980087042E-7</v>
      </c>
      <c r="I12" s="2">
        <f t="shared" si="12"/>
        <v>3.4518467380048323E-2</v>
      </c>
      <c r="J12" s="1" t="str">
        <f t="shared" si="13"/>
        <v>NO</v>
      </c>
    </row>
    <row r="13" spans="1:10" x14ac:dyDescent="0.25">
      <c r="A13" s="1">
        <v>11</v>
      </c>
      <c r="B13" s="2">
        <f t="shared" si="6"/>
        <v>1.4140625</v>
      </c>
      <c r="C13" s="2">
        <f t="shared" si="0"/>
        <v>1.414306640625</v>
      </c>
      <c r="D13" s="2">
        <f t="shared" si="7"/>
        <v>1.41455078125</v>
      </c>
      <c r="E13" s="2">
        <f t="shared" si="8"/>
        <v>-4.2724609375E-4</v>
      </c>
      <c r="F13" s="2">
        <f t="shared" si="9"/>
        <v>2.6327371597290039E-4</v>
      </c>
      <c r="G13" s="2">
        <f t="shared" si="10"/>
        <v>9.5391273498535156E-4</v>
      </c>
      <c r="H13" s="2">
        <f t="shared" si="11"/>
        <v>-1.1248266673646867E-7</v>
      </c>
      <c r="I13" s="2">
        <f t="shared" si="12"/>
        <v>1.7262213015708613E-2</v>
      </c>
      <c r="J13" s="1" t="str">
        <f t="shared" si="13"/>
        <v>NO</v>
      </c>
    </row>
    <row r="14" spans="1:10" x14ac:dyDescent="0.25">
      <c r="A14" s="2">
        <v>12</v>
      </c>
      <c r="B14" s="2">
        <f t="shared" si="6"/>
        <v>1.4140625</v>
      </c>
      <c r="C14" s="2">
        <f t="shared" si="0"/>
        <v>1.4141845703125</v>
      </c>
      <c r="D14" s="2">
        <f t="shared" si="7"/>
        <v>1.414306640625</v>
      </c>
      <c r="E14" s="2">
        <f t="shared" si="8"/>
        <v>-4.2724609375E-4</v>
      </c>
      <c r="F14" s="2">
        <f t="shared" si="9"/>
        <v>-8.2001090049743652E-5</v>
      </c>
      <c r="G14" s="2">
        <f t="shared" si="10"/>
        <v>2.6327371597290039E-4</v>
      </c>
      <c r="H14" s="2">
        <f t="shared" si="11"/>
        <v>3.5034645406994969E-8</v>
      </c>
      <c r="I14" s="2">
        <f t="shared" si="12"/>
        <v>8.6318515321536469E-3</v>
      </c>
      <c r="J14" s="1" t="str">
        <f t="shared" si="13"/>
        <v>NO</v>
      </c>
    </row>
    <row r="15" spans="1:10" x14ac:dyDescent="0.25">
      <c r="A15" s="1">
        <v>13</v>
      </c>
      <c r="B15" s="2">
        <f t="shared" si="6"/>
        <v>1.4141845703125</v>
      </c>
      <c r="C15" s="2">
        <f t="shared" si="0"/>
        <v>1.41424560546875</v>
      </c>
      <c r="D15" s="2">
        <f t="shared" si="7"/>
        <v>1.414306640625</v>
      </c>
      <c r="E15" s="2">
        <f t="shared" si="8"/>
        <v>-8.2001090049743652E-5</v>
      </c>
      <c r="F15" s="2">
        <f t="shared" si="9"/>
        <v>9.0632587671279907E-5</v>
      </c>
      <c r="G15" s="2">
        <f t="shared" si="10"/>
        <v>2.6327371597290039E-4</v>
      </c>
      <c r="H15" s="2">
        <f t="shared" si="11"/>
        <v>-7.43197098307391E-9</v>
      </c>
      <c r="I15" s="2">
        <f t="shared" si="12"/>
        <v>4.3157395019636615E-3</v>
      </c>
      <c r="J15" s="1" t="str">
        <f t="shared" si="13"/>
        <v>NO</v>
      </c>
    </row>
    <row r="16" spans="1:10" x14ac:dyDescent="0.25">
      <c r="A16" s="2">
        <v>14</v>
      </c>
      <c r="B16" s="2">
        <f t="shared" si="6"/>
        <v>1.4141845703125</v>
      </c>
      <c r="C16" s="2">
        <f t="shared" si="0"/>
        <v>1.414215087890625</v>
      </c>
      <c r="D16" s="2">
        <f t="shared" si="7"/>
        <v>1.41424560546875</v>
      </c>
      <c r="E16" s="2">
        <f t="shared" si="8"/>
        <v>-8.2001090049743652E-5</v>
      </c>
      <c r="F16" s="2">
        <f t="shared" si="9"/>
        <v>4.314817488193512E-6</v>
      </c>
      <c r="G16" s="2">
        <f t="shared" si="10"/>
        <v>9.0632587671279907E-5</v>
      </c>
      <c r="H16" s="2">
        <f t="shared" si="11"/>
        <v>-3.5381973739756489E-10</v>
      </c>
      <c r="I16" s="2">
        <f t="shared" si="12"/>
        <v>2.1579163160052651E-3</v>
      </c>
      <c r="J16" s="1" t="str">
        <f t="shared" si="13"/>
        <v>NO</v>
      </c>
    </row>
    <row r="17" spans="1:10" x14ac:dyDescent="0.25">
      <c r="A17" s="1">
        <v>15</v>
      </c>
      <c r="B17" s="2">
        <f t="shared" si="6"/>
        <v>1.4141845703125</v>
      </c>
      <c r="C17" s="2">
        <f t="shared" si="0"/>
        <v>1.4141998291015625</v>
      </c>
      <c r="D17" s="2">
        <f t="shared" si="7"/>
        <v>1.414215087890625</v>
      </c>
      <c r="E17" s="2">
        <f t="shared" si="8"/>
        <v>-8.2001090049743652E-5</v>
      </c>
      <c r="F17" s="2">
        <f t="shared" si="9"/>
        <v>-3.8843369111418724E-5</v>
      </c>
      <c r="G17" s="2">
        <f t="shared" si="10"/>
        <v>4.314817488193512E-6</v>
      </c>
      <c r="H17" s="2">
        <f t="shared" si="11"/>
        <v>3.1851986083408779E-9</v>
      </c>
      <c r="I17" s="2">
        <f t="shared" si="12"/>
        <v>1.0789697996353082E-3</v>
      </c>
      <c r="J17" s="1" t="str">
        <f t="shared" si="13"/>
        <v>NO</v>
      </c>
    </row>
    <row r="18" spans="1:10" x14ac:dyDescent="0.25">
      <c r="A18" s="2">
        <v>16</v>
      </c>
      <c r="B18" s="2">
        <f t="shared" si="6"/>
        <v>1.4141998291015625</v>
      </c>
      <c r="C18" s="2">
        <f t="shared" si="0"/>
        <v>1.4142074584960938</v>
      </c>
      <c r="D18" s="2">
        <f t="shared" si="7"/>
        <v>1.414215087890625</v>
      </c>
      <c r="E18" s="2">
        <f t="shared" si="8"/>
        <v>-3.8843369111418724E-5</v>
      </c>
      <c r="F18" s="2">
        <f t="shared" si="9"/>
        <v>-1.726433401927352E-5</v>
      </c>
      <c r="G18" s="2">
        <f t="shared" si="10"/>
        <v>4.314817488193512E-6</v>
      </c>
      <c r="H18" s="2">
        <f t="shared" si="11"/>
        <v>6.706048987734645E-10</v>
      </c>
      <c r="I18" s="2">
        <f t="shared" si="12"/>
        <v>5.394819893937841E-4</v>
      </c>
      <c r="J18" s="1" t="str">
        <f t="shared" si="13"/>
        <v>NO</v>
      </c>
    </row>
    <row r="19" spans="1:10" x14ac:dyDescent="0.25">
      <c r="A19" s="1">
        <v>17</v>
      </c>
      <c r="B19" s="2">
        <f t="shared" si="6"/>
        <v>1.4142074584960938</v>
      </c>
      <c r="C19" s="2">
        <f t="shared" si="0"/>
        <v>1.4142112731933594</v>
      </c>
      <c r="D19" s="2">
        <f t="shared" si="7"/>
        <v>1.414215087890625</v>
      </c>
      <c r="E19" s="2">
        <f t="shared" si="8"/>
        <v>-1.726433401927352E-5</v>
      </c>
      <c r="F19" s="2">
        <f t="shared" si="9"/>
        <v>-6.4747728174552321E-6</v>
      </c>
      <c r="G19" s="2">
        <f t="shared" si="10"/>
        <v>4.314817488193512E-6</v>
      </c>
      <c r="H19" s="2">
        <f t="shared" si="11"/>
        <v>1.1178264061945982E-10</v>
      </c>
      <c r="I19" s="2">
        <f t="shared" si="12"/>
        <v>2.6974026709681247E-4</v>
      </c>
      <c r="J19" s="1" t="str">
        <f t="shared" si="13"/>
        <v>NO</v>
      </c>
    </row>
    <row r="20" spans="1:10" x14ac:dyDescent="0.25">
      <c r="A20" s="2">
        <v>18</v>
      </c>
      <c r="B20" s="2">
        <f t="shared" si="6"/>
        <v>1.4142112731933594</v>
      </c>
      <c r="C20" s="2">
        <f t="shared" si="0"/>
        <v>1.4142131805419922</v>
      </c>
      <c r="D20" s="2">
        <f t="shared" si="7"/>
        <v>1.414215087890625</v>
      </c>
      <c r="E20" s="2">
        <f t="shared" si="8"/>
        <v>-6.4747728174552321E-6</v>
      </c>
      <c r="F20" s="2">
        <f t="shared" si="9"/>
        <v>-1.0799813026096672E-6</v>
      </c>
      <c r="G20" s="2">
        <f t="shared" si="10"/>
        <v>4.314817488193512E-6</v>
      </c>
      <c r="H20" s="2">
        <f t="shared" si="11"/>
        <v>6.9926335814969664E-12</v>
      </c>
      <c r="I20" s="2">
        <f t="shared" si="12"/>
        <v>1.3486995164912232E-4</v>
      </c>
      <c r="J20" s="1" t="str">
        <f t="shared" si="13"/>
        <v>NO</v>
      </c>
    </row>
    <row r="21" spans="1:10" x14ac:dyDescent="0.25">
      <c r="A21" s="1">
        <v>19</v>
      </c>
      <c r="B21" s="2">
        <f t="shared" si="6"/>
        <v>1.4142131805419922</v>
      </c>
      <c r="C21" s="2">
        <f t="shared" si="0"/>
        <v>1.4142141342163086</v>
      </c>
      <c r="D21" s="2">
        <f t="shared" si="7"/>
        <v>1.414215087890625</v>
      </c>
      <c r="E21" s="2">
        <f t="shared" si="8"/>
        <v>-1.0799813026096672E-6</v>
      </c>
      <c r="F21" s="2">
        <f t="shared" si="9"/>
        <v>1.6174171832972206E-6</v>
      </c>
      <c r="G21" s="2">
        <f t="shared" si="10"/>
        <v>4.314817488193512E-6</v>
      </c>
      <c r="H21" s="2">
        <f t="shared" si="11"/>
        <v>-1.7467803164805912E-12</v>
      </c>
      <c r="I21" s="2">
        <f t="shared" si="12"/>
        <v>6.7434930349832186E-5</v>
      </c>
      <c r="J21" s="1" t="str">
        <f t="shared" si="13"/>
        <v>NO</v>
      </c>
    </row>
    <row r="22" spans="1:10" x14ac:dyDescent="0.25">
      <c r="A22" s="2">
        <v>20</v>
      </c>
      <c r="B22" s="2">
        <f t="shared" si="6"/>
        <v>1.4142131805419922</v>
      </c>
      <c r="C22" s="2">
        <f t="shared" si="0"/>
        <v>1.4142136573791504</v>
      </c>
      <c r="D22" s="2">
        <f t="shared" si="7"/>
        <v>1.4142141342163086</v>
      </c>
      <c r="E22" s="2">
        <f t="shared" si="8"/>
        <v>-1.0799813026096672E-6</v>
      </c>
      <c r="F22" s="2">
        <f t="shared" si="9"/>
        <v>2.6871771297010127E-7</v>
      </c>
      <c r="G22" s="2">
        <f t="shared" si="10"/>
        <v>1.6174171832972206E-6</v>
      </c>
      <c r="H22" s="2">
        <f t="shared" si="11"/>
        <v>-2.9021010568774063E-13</v>
      </c>
      <c r="I22" s="2">
        <f t="shared" si="12"/>
        <v>3.3717476543594505E-5</v>
      </c>
      <c r="J22" s="1" t="str">
        <f>IF(I22&lt;0.00001,"SI","NO")</f>
        <v>NO</v>
      </c>
    </row>
    <row r="23" spans="1:10" x14ac:dyDescent="0.25">
      <c r="A23" s="1">
        <v>21</v>
      </c>
      <c r="B23" s="2">
        <f t="shared" ref="B23:B24" si="14">IF(E22*F22&lt;0,B22,C22)</f>
        <v>1.4142131805419922</v>
      </c>
      <c r="C23" s="2">
        <f t="shared" si="0"/>
        <v>1.4142134189605713</v>
      </c>
      <c r="D23" s="2">
        <f t="shared" ref="D23:D24" si="15">IF(E22*F22&lt;0,C22,D22)</f>
        <v>1.4142136573791504</v>
      </c>
      <c r="E23" s="2">
        <f t="shared" ref="E23:E24" si="16">B23^2-2</f>
        <v>-1.0799813026096672E-6</v>
      </c>
      <c r="F23" s="2">
        <f t="shared" ref="F23:F24" si="17">C23^2-2</f>
        <v>-4.0563185166320181E-7</v>
      </c>
      <c r="G23" s="2">
        <f t="shared" ref="G23:G24" si="18">D23^2-2</f>
        <v>2.6871771297010127E-7</v>
      </c>
      <c r="H23" s="2">
        <f t="shared" ref="H23:H24" si="19">E23*F23</f>
        <v>4.3807481553919599E-13</v>
      </c>
      <c r="I23" s="2">
        <f t="shared" ref="I23:I24" si="20">ABS((C23-C22)/C23)*100</f>
        <v>1.6858741113968294E-5</v>
      </c>
      <c r="J23" s="1" t="str">
        <f t="shared" si="13"/>
        <v>NO</v>
      </c>
    </row>
    <row r="24" spans="1:10" x14ac:dyDescent="0.25">
      <c r="A24" s="2">
        <v>22</v>
      </c>
      <c r="B24" s="2">
        <f t="shared" si="14"/>
        <v>1.4142134189605713</v>
      </c>
      <c r="C24" s="2">
        <f t="shared" si="0"/>
        <v>1.4142135381698608</v>
      </c>
      <c r="D24" s="2">
        <f t="shared" si="15"/>
        <v>1.4142136573791504</v>
      </c>
      <c r="E24" s="2">
        <f t="shared" si="16"/>
        <v>-4.0563185166320181E-7</v>
      </c>
      <c r="F24" s="2">
        <f t="shared" si="17"/>
        <v>-6.8457083557404985E-8</v>
      </c>
      <c r="G24" s="2">
        <f t="shared" si="18"/>
        <v>2.6871771297010127E-7</v>
      </c>
      <c r="H24" s="2">
        <f t="shared" si="19"/>
        <v>2.7768373562852711E-14</v>
      </c>
      <c r="I24" s="2">
        <f t="shared" si="20"/>
        <v>8.4293698464413264E-6</v>
      </c>
      <c r="J24" s="1" t="str">
        <f t="shared" si="13"/>
        <v>SI</v>
      </c>
    </row>
    <row r="25" spans="1:10" ht="17.25" x14ac:dyDescent="0.25">
      <c r="A25" s="104" t="s">
        <v>0</v>
      </c>
      <c r="B25" s="104"/>
      <c r="C25" s="104"/>
      <c r="D25" s="104"/>
      <c r="E25" s="104"/>
      <c r="F25" s="104"/>
      <c r="G25" s="104"/>
      <c r="H25" s="104"/>
      <c r="I25" s="104"/>
      <c r="J25" s="104"/>
    </row>
    <row r="26" spans="1:10" x14ac:dyDescent="0.25">
      <c r="A26" s="3" t="s">
        <v>11</v>
      </c>
      <c r="B26" s="4" t="s">
        <v>12</v>
      </c>
      <c r="C26" s="4"/>
      <c r="D26" s="3" t="s">
        <v>13</v>
      </c>
      <c r="E26" s="4" t="s">
        <v>14</v>
      </c>
      <c r="F26" s="4"/>
      <c r="G26" s="3" t="s">
        <v>15</v>
      </c>
      <c r="H26" s="4" t="s">
        <v>16</v>
      </c>
      <c r="I26" s="4"/>
      <c r="J26" s="4"/>
    </row>
    <row r="27" spans="1:10" ht="19.5" x14ac:dyDescent="0.25">
      <c r="D27" t="s">
        <v>69</v>
      </c>
      <c r="E27" s="100" t="s">
        <v>70</v>
      </c>
    </row>
  </sheetData>
  <mergeCells count="1">
    <mergeCell ref="A25:J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2203-CD7C-4E88-9432-C67EFD7F9075}">
  <dimension ref="A1:J13"/>
  <sheetViews>
    <sheetView workbookViewId="0">
      <selection activeCell="G11" sqref="G11"/>
    </sheetView>
  </sheetViews>
  <sheetFormatPr baseColWidth="10" defaultRowHeight="15" x14ac:dyDescent="0.25"/>
  <sheetData>
    <row r="1" spans="1:10" x14ac:dyDescent="0.25">
      <c r="A1" s="5" t="s">
        <v>1</v>
      </c>
      <c r="B1" s="5" t="s">
        <v>2</v>
      </c>
      <c r="C1" s="5" t="s">
        <v>17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</row>
    <row r="2" spans="1:10" x14ac:dyDescent="0.25">
      <c r="A2" s="6">
        <v>0</v>
      </c>
      <c r="B2" s="6">
        <v>1</v>
      </c>
      <c r="C2" s="6">
        <f t="shared" ref="C2:C4" si="0">B2-(E2*(D2-B2))/(G2-E2)</f>
        <v>1.3333333333333333</v>
      </c>
      <c r="D2" s="6">
        <v>2</v>
      </c>
      <c r="E2" s="6">
        <f t="shared" ref="E2:G4" si="1">B2^2-2</f>
        <v>-1</v>
      </c>
      <c r="F2" s="6">
        <f t="shared" si="1"/>
        <v>-0.22222222222222232</v>
      </c>
      <c r="G2" s="6">
        <f t="shared" si="1"/>
        <v>2</v>
      </c>
      <c r="H2" s="6">
        <f t="shared" ref="H2:H4" si="2">E2*F2</f>
        <v>0.22222222222222232</v>
      </c>
      <c r="I2" s="6"/>
      <c r="J2" s="6"/>
    </row>
    <row r="3" spans="1:10" x14ac:dyDescent="0.25">
      <c r="A3" s="5">
        <v>1</v>
      </c>
      <c r="B3" s="5">
        <f t="shared" ref="B3:B4" si="3">IF(E2*F2&lt;0,B2,C2)</f>
        <v>1.3333333333333333</v>
      </c>
      <c r="C3" s="5">
        <f t="shared" si="0"/>
        <v>1.4</v>
      </c>
      <c r="D3" s="5">
        <f t="shared" ref="D3:D4" si="4">IF(E2*F2&lt;0,C2,D2)</f>
        <v>2</v>
      </c>
      <c r="E3" s="5">
        <f t="shared" si="1"/>
        <v>-0.22222222222222232</v>
      </c>
      <c r="F3" s="5">
        <f t="shared" si="1"/>
        <v>-4.0000000000000258E-2</v>
      </c>
      <c r="G3" s="5">
        <f t="shared" si="1"/>
        <v>2</v>
      </c>
      <c r="H3" s="5">
        <f t="shared" si="2"/>
        <v>8.8888888888889496E-3</v>
      </c>
      <c r="I3" s="5">
        <f t="shared" ref="I3:I4" si="5">ABS((C3-C2)/C3)*100</f>
        <v>4.761904761904761</v>
      </c>
      <c r="J3" s="5" t="str">
        <f>IF(I3&lt;0.00001,"SI","NO")</f>
        <v>NO</v>
      </c>
    </row>
    <row r="4" spans="1:10" x14ac:dyDescent="0.25">
      <c r="A4" s="6">
        <v>2</v>
      </c>
      <c r="B4" s="6">
        <f t="shared" si="3"/>
        <v>1.4</v>
      </c>
      <c r="C4" s="6">
        <f t="shared" si="0"/>
        <v>1.411764705882353</v>
      </c>
      <c r="D4" s="6">
        <f t="shared" si="4"/>
        <v>2</v>
      </c>
      <c r="E4" s="6">
        <f t="shared" si="1"/>
        <v>-4.0000000000000258E-2</v>
      </c>
      <c r="F4" s="6">
        <f t="shared" si="1"/>
        <v>-6.9204152249131567E-3</v>
      </c>
      <c r="G4" s="6">
        <f t="shared" si="1"/>
        <v>2</v>
      </c>
      <c r="H4" s="6">
        <f t="shared" si="2"/>
        <v>2.7681660899652805E-4</v>
      </c>
      <c r="I4" s="6">
        <f t="shared" si="5"/>
        <v>0.83333333333334603</v>
      </c>
      <c r="J4" s="5" t="str">
        <f>IF(I4&lt;0.00001,"SI","NO")</f>
        <v>NO</v>
      </c>
    </row>
    <row r="5" spans="1:10" x14ac:dyDescent="0.25">
      <c r="A5" s="5">
        <v>3</v>
      </c>
      <c r="B5" s="6">
        <f t="shared" ref="B5:B11" si="6">IF(E4*F4&lt;0,B4,C4)</f>
        <v>1.411764705882353</v>
      </c>
      <c r="C5" s="6">
        <f t="shared" ref="C5:C11" si="7">B5-(E5*(D5-B5))/(G5-E5)</f>
        <v>1.4137931034482758</v>
      </c>
      <c r="D5" s="6">
        <f t="shared" ref="D5:D11" si="8">IF(E4*F4&lt;0,C4,D4)</f>
        <v>2</v>
      </c>
      <c r="E5" s="6">
        <f t="shared" ref="E5:E11" si="9">B5^2-2</f>
        <v>-6.9204152249131567E-3</v>
      </c>
      <c r="F5" s="6">
        <f t="shared" ref="F5:F11" si="10">C5^2-2</f>
        <v>-1.1890606420930094E-3</v>
      </c>
      <c r="G5" s="6">
        <f t="shared" ref="G5:G11" si="11">D5^2-2</f>
        <v>2</v>
      </c>
      <c r="H5" s="6">
        <f t="shared" ref="H5:H11" si="12">E5*F5</f>
        <v>8.2287933708854757E-6</v>
      </c>
      <c r="I5" s="6">
        <f t="shared" ref="I5:I11" si="13">ABS((C5-C4)/C5)*100</f>
        <v>0.14347202295551287</v>
      </c>
      <c r="J5" s="5" t="str">
        <f t="shared" ref="J5:J11" si="14">IF(I5&lt;0.00001,"SI","NO")</f>
        <v>NO</v>
      </c>
    </row>
    <row r="6" spans="1:10" x14ac:dyDescent="0.25">
      <c r="A6" s="6">
        <v>4</v>
      </c>
      <c r="B6" s="6">
        <f t="shared" si="6"/>
        <v>1.4137931034482758</v>
      </c>
      <c r="C6" s="6">
        <f t="shared" si="7"/>
        <v>1.4141414141414141</v>
      </c>
      <c r="D6" s="6">
        <f t="shared" si="8"/>
        <v>2</v>
      </c>
      <c r="E6" s="6">
        <f t="shared" si="9"/>
        <v>-1.1890606420930094E-3</v>
      </c>
      <c r="F6" s="6">
        <f t="shared" si="10"/>
        <v>-2.0406081012147581E-4</v>
      </c>
      <c r="G6" s="6">
        <f t="shared" si="11"/>
        <v>2</v>
      </c>
      <c r="H6" s="6">
        <f t="shared" si="12"/>
        <v>2.4264067790906173E-7</v>
      </c>
      <c r="I6" s="6">
        <f t="shared" si="13"/>
        <v>2.4630541871925673E-2</v>
      </c>
      <c r="J6" s="5" t="str">
        <f t="shared" si="14"/>
        <v>NO</v>
      </c>
    </row>
    <row r="7" spans="1:10" x14ac:dyDescent="0.25">
      <c r="A7" s="5">
        <v>5</v>
      </c>
      <c r="B7" s="6">
        <f t="shared" si="6"/>
        <v>1.4141414141414141</v>
      </c>
      <c r="C7" s="6">
        <f t="shared" si="7"/>
        <v>1.4142011834319528</v>
      </c>
      <c r="D7" s="6">
        <f t="shared" si="8"/>
        <v>2</v>
      </c>
      <c r="E7" s="6">
        <f t="shared" si="9"/>
        <v>-2.0406081012147581E-4</v>
      </c>
      <c r="F7" s="6">
        <f t="shared" si="10"/>
        <v>-3.5012779664223004E-5</v>
      </c>
      <c r="G7" s="6">
        <f t="shared" si="11"/>
        <v>2</v>
      </c>
      <c r="H7" s="6">
        <f t="shared" si="12"/>
        <v>7.1447361828860797E-9</v>
      </c>
      <c r="I7" s="6">
        <f t="shared" si="13"/>
        <v>4.2263640590081523E-3</v>
      </c>
      <c r="J7" s="5" t="str">
        <f t="shared" si="14"/>
        <v>NO</v>
      </c>
    </row>
    <row r="8" spans="1:10" x14ac:dyDescent="0.25">
      <c r="A8" s="6">
        <v>6</v>
      </c>
      <c r="B8" s="6">
        <f t="shared" si="6"/>
        <v>1.4142011834319528</v>
      </c>
      <c r="C8" s="6">
        <f t="shared" si="7"/>
        <v>1.4142114384748701</v>
      </c>
      <c r="D8" s="6">
        <f t="shared" si="8"/>
        <v>2</v>
      </c>
      <c r="E8" s="6">
        <f t="shared" si="9"/>
        <v>-3.5012779664223004E-5</v>
      </c>
      <c r="F8" s="6">
        <f t="shared" si="10"/>
        <v>-6.0072868388605372E-6</v>
      </c>
      <c r="G8" s="6">
        <f t="shared" si="11"/>
        <v>2</v>
      </c>
      <c r="H8" s="6">
        <f t="shared" si="12"/>
        <v>2.103318104688107E-10</v>
      </c>
      <c r="I8" s="6">
        <f t="shared" si="13"/>
        <v>7.2514212785287305E-4</v>
      </c>
      <c r="J8" s="5" t="str">
        <f t="shared" si="14"/>
        <v>NO</v>
      </c>
    </row>
    <row r="9" spans="1:10" x14ac:dyDescent="0.25">
      <c r="A9" s="5">
        <v>7</v>
      </c>
      <c r="B9" s="6">
        <f t="shared" si="6"/>
        <v>1.4142114384748701</v>
      </c>
      <c r="C9" s="6">
        <f t="shared" si="7"/>
        <v>1.4142131979695431</v>
      </c>
      <c r="D9" s="6">
        <f t="shared" si="8"/>
        <v>2</v>
      </c>
      <c r="E9" s="6">
        <f t="shared" si="9"/>
        <v>-6.0072868388605372E-6</v>
      </c>
      <c r="F9" s="6">
        <f t="shared" si="10"/>
        <v>-1.0306887576749801E-6</v>
      </c>
      <c r="G9" s="6">
        <f t="shared" si="11"/>
        <v>2</v>
      </c>
      <c r="H9" s="6">
        <f t="shared" si="12"/>
        <v>6.191643008942426E-12</v>
      </c>
      <c r="I9" s="6">
        <f t="shared" si="13"/>
        <v>1.2441509353727887E-4</v>
      </c>
      <c r="J9" s="5" t="str">
        <f t="shared" si="14"/>
        <v>NO</v>
      </c>
    </row>
    <row r="10" spans="1:10" x14ac:dyDescent="0.25">
      <c r="A10" s="6">
        <v>8</v>
      </c>
      <c r="B10" s="6">
        <f t="shared" si="6"/>
        <v>1.4142131979695431</v>
      </c>
      <c r="C10" s="6">
        <f t="shared" si="7"/>
        <v>1.4142134998513232</v>
      </c>
      <c r="D10" s="6">
        <f t="shared" si="8"/>
        <v>2</v>
      </c>
      <c r="E10" s="6">
        <f t="shared" si="9"/>
        <v>-1.0306887576749801E-6</v>
      </c>
      <c r="F10" s="6">
        <f t="shared" si="10"/>
        <v>-1.7683827158165855E-7</v>
      </c>
      <c r="G10" s="6">
        <f t="shared" si="11"/>
        <v>2</v>
      </c>
      <c r="H10" s="6">
        <f t="shared" si="12"/>
        <v>1.8226521844589039E-13</v>
      </c>
      <c r="I10" s="6">
        <f t="shared" si="13"/>
        <v>2.1346266320464165E-5</v>
      </c>
      <c r="J10" s="5" t="str">
        <f t="shared" si="14"/>
        <v>NO</v>
      </c>
    </row>
    <row r="11" spans="1:10" x14ac:dyDescent="0.25">
      <c r="A11" s="5">
        <v>9</v>
      </c>
      <c r="B11" s="6">
        <f t="shared" si="6"/>
        <v>1.4142134998513232</v>
      </c>
      <c r="C11" s="6">
        <f t="shared" si="7"/>
        <v>1.4142135516460548</v>
      </c>
      <c r="D11" s="6">
        <f t="shared" si="8"/>
        <v>2</v>
      </c>
      <c r="E11" s="6">
        <f t="shared" si="9"/>
        <v>-1.7683827158165855E-7</v>
      </c>
      <c r="F11" s="6">
        <f t="shared" si="10"/>
        <v>-3.0340651546723052E-8</v>
      </c>
      <c r="G11" s="6">
        <f t="shared" si="11"/>
        <v>2</v>
      </c>
      <c r="H11" s="6">
        <f t="shared" si="12"/>
        <v>5.3653883781838794E-15</v>
      </c>
      <c r="I11" s="6">
        <f t="shared" si="13"/>
        <v>3.6624406232338026E-6</v>
      </c>
      <c r="J11" s="5" t="str">
        <f t="shared" si="14"/>
        <v>SI</v>
      </c>
    </row>
    <row r="12" spans="1:10" ht="17.25" x14ac:dyDescent="0.25">
      <c r="A12" s="105" t="s">
        <v>18</v>
      </c>
      <c r="B12" s="105"/>
      <c r="C12" s="105"/>
      <c r="D12" s="105"/>
      <c r="E12" s="105"/>
      <c r="F12" s="105"/>
      <c r="G12" s="105"/>
      <c r="H12" s="105"/>
      <c r="I12" s="105"/>
      <c r="J12" s="105"/>
    </row>
    <row r="13" spans="1:10" x14ac:dyDescent="0.25">
      <c r="A13" s="7" t="s">
        <v>11</v>
      </c>
      <c r="B13" s="8" t="s">
        <v>12</v>
      </c>
      <c r="C13" s="8"/>
      <c r="D13" s="7" t="s">
        <v>13</v>
      </c>
      <c r="E13" s="8" t="s">
        <v>14</v>
      </c>
      <c r="F13" s="8"/>
      <c r="G13" s="7" t="s">
        <v>19</v>
      </c>
      <c r="H13" s="8" t="s">
        <v>20</v>
      </c>
      <c r="I13" s="8"/>
      <c r="J13" s="8"/>
    </row>
  </sheetData>
  <mergeCells count="1">
    <mergeCell ref="A12:J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C608-A6D5-4EA9-A54F-9F72BB97FD8B}">
  <dimension ref="A1:F13"/>
  <sheetViews>
    <sheetView zoomScale="160" zoomScaleNormal="160" workbookViewId="0">
      <selection activeCell="D15" sqref="D15"/>
    </sheetView>
  </sheetViews>
  <sheetFormatPr baseColWidth="10" defaultRowHeight="15" x14ac:dyDescent="0.25"/>
  <sheetData>
    <row r="1" spans="1:6" x14ac:dyDescent="0.25">
      <c r="A1" s="9" t="s">
        <v>1</v>
      </c>
      <c r="B1" s="9" t="s">
        <v>21</v>
      </c>
      <c r="C1" s="9" t="s">
        <v>22</v>
      </c>
      <c r="D1" s="9" t="s">
        <v>9</v>
      </c>
      <c r="E1" s="9" t="s">
        <v>10</v>
      </c>
      <c r="F1" s="9"/>
    </row>
    <row r="2" spans="1:6" x14ac:dyDescent="0.25">
      <c r="A2" s="10">
        <v>0</v>
      </c>
      <c r="B2" s="10">
        <v>1</v>
      </c>
      <c r="C2" s="10">
        <f t="shared" ref="C2:C11" si="0">(B2+2)/(B2+1)</f>
        <v>1.5</v>
      </c>
      <c r="D2" s="10"/>
      <c r="E2" s="10"/>
      <c r="F2" s="10"/>
    </row>
    <row r="3" spans="1:6" x14ac:dyDescent="0.25">
      <c r="A3" s="9">
        <v>1</v>
      </c>
      <c r="B3" s="9">
        <f t="shared" ref="B3:B11" si="1">C2</f>
        <v>1.5</v>
      </c>
      <c r="C3" s="9">
        <f t="shared" si="0"/>
        <v>1.4</v>
      </c>
      <c r="D3" s="9">
        <f t="shared" ref="D3:D4" si="2">ABS((C3-B3)/C3)*100</f>
        <v>7.1428571428571495</v>
      </c>
      <c r="E3" s="9" t="str">
        <f>IF(D3&lt;0.00001,"SI","NO")</f>
        <v>NO</v>
      </c>
      <c r="F3" s="9"/>
    </row>
    <row r="4" spans="1:6" x14ac:dyDescent="0.25">
      <c r="A4" s="10">
        <v>2</v>
      </c>
      <c r="B4" s="10">
        <f t="shared" si="1"/>
        <v>1.4</v>
      </c>
      <c r="C4" s="10">
        <f t="shared" si="0"/>
        <v>1.4166666666666667</v>
      </c>
      <c r="D4" s="10">
        <f t="shared" si="2"/>
        <v>1.1764705882353055</v>
      </c>
      <c r="E4" s="9" t="str">
        <f t="shared" ref="E4:E11" si="3">IF(D4&lt;0.00001,"SI","NO")</f>
        <v>NO</v>
      </c>
      <c r="F4" s="9"/>
    </row>
    <row r="5" spans="1:6" x14ac:dyDescent="0.25">
      <c r="A5" s="9">
        <v>3</v>
      </c>
      <c r="B5" s="10">
        <f t="shared" si="1"/>
        <v>1.4166666666666667</v>
      </c>
      <c r="C5" s="10">
        <f t="shared" si="0"/>
        <v>1.4137931034482758</v>
      </c>
      <c r="D5" s="10">
        <f t="shared" ref="D5:D10" si="4">ABS((C5-B5)/C5)*100</f>
        <v>0.20325203252033477</v>
      </c>
      <c r="E5" s="9" t="str">
        <f t="shared" si="3"/>
        <v>NO</v>
      </c>
      <c r="F5" s="9"/>
    </row>
    <row r="6" spans="1:6" x14ac:dyDescent="0.25">
      <c r="A6" s="10">
        <v>4</v>
      </c>
      <c r="B6" s="10">
        <f t="shared" si="1"/>
        <v>1.4137931034482758</v>
      </c>
      <c r="C6" s="10">
        <f t="shared" si="0"/>
        <v>1.4142857142857144</v>
      </c>
      <c r="D6" s="10">
        <f t="shared" si="4"/>
        <v>3.4831069313838094E-2</v>
      </c>
      <c r="E6" s="9" t="str">
        <f t="shared" si="3"/>
        <v>NO</v>
      </c>
      <c r="F6" s="9"/>
    </row>
    <row r="7" spans="1:6" x14ac:dyDescent="0.25">
      <c r="A7" s="9">
        <v>5</v>
      </c>
      <c r="B7" s="10">
        <f t="shared" si="1"/>
        <v>1.4142857142857144</v>
      </c>
      <c r="C7" s="10">
        <f t="shared" si="0"/>
        <v>1.4142011834319526</v>
      </c>
      <c r="D7" s="10">
        <f t="shared" si="4"/>
        <v>5.9772863120276104E-3</v>
      </c>
      <c r="E7" s="9" t="str">
        <f t="shared" si="3"/>
        <v>NO</v>
      </c>
      <c r="F7" s="9"/>
    </row>
    <row r="8" spans="1:6" x14ac:dyDescent="0.25">
      <c r="A8" s="10">
        <v>6</v>
      </c>
      <c r="B8" s="10">
        <f t="shared" si="1"/>
        <v>1.4142011834319526</v>
      </c>
      <c r="C8" s="10">
        <f t="shared" si="0"/>
        <v>1.4142156862745099</v>
      </c>
      <c r="D8" s="10">
        <f t="shared" si="4"/>
        <v>1.0255042917487426E-3</v>
      </c>
      <c r="E8" s="9" t="str">
        <f t="shared" si="3"/>
        <v>NO</v>
      </c>
      <c r="F8" s="9"/>
    </row>
    <row r="9" spans="1:6" x14ac:dyDescent="0.25">
      <c r="A9" s="9">
        <v>7</v>
      </c>
      <c r="B9" s="10">
        <f t="shared" si="1"/>
        <v>1.4142156862745099</v>
      </c>
      <c r="C9" s="10">
        <f t="shared" si="0"/>
        <v>1.4142131979695431</v>
      </c>
      <c r="D9" s="10">
        <f t="shared" si="4"/>
        <v>1.7594977690165976E-4</v>
      </c>
      <c r="E9" s="9" t="str">
        <f t="shared" si="3"/>
        <v>NO</v>
      </c>
      <c r="F9" s="9"/>
    </row>
    <row r="10" spans="1:6" x14ac:dyDescent="0.25">
      <c r="A10" s="10">
        <v>8</v>
      </c>
      <c r="B10" s="10">
        <f t="shared" si="1"/>
        <v>1.4142131979695431</v>
      </c>
      <c r="C10" s="10">
        <f t="shared" si="0"/>
        <v>1.4142136248948696</v>
      </c>
      <c r="D10" s="10">
        <f t="shared" si="4"/>
        <v>3.0188178002891669E-5</v>
      </c>
      <c r="E10" s="9" t="str">
        <f t="shared" si="3"/>
        <v>NO</v>
      </c>
      <c r="F10" s="9"/>
    </row>
    <row r="11" spans="1:6" x14ac:dyDescent="0.25">
      <c r="A11" s="9">
        <v>9</v>
      </c>
      <c r="B11" s="10">
        <f t="shared" si="1"/>
        <v>1.4142136248948696</v>
      </c>
      <c r="C11" s="10">
        <f t="shared" si="0"/>
        <v>1.4142135516460548</v>
      </c>
      <c r="D11" s="10">
        <f t="shared" ref="D11" si="5">ABS((C11-B11)/C11)*100</f>
        <v>5.1794734045766844E-6</v>
      </c>
      <c r="E11" s="9" t="str">
        <f t="shared" si="3"/>
        <v>SI</v>
      </c>
      <c r="F11" s="9"/>
    </row>
    <row r="12" spans="1:6" ht="17.25" x14ac:dyDescent="0.25">
      <c r="A12" s="106" t="s">
        <v>23</v>
      </c>
      <c r="B12" s="106"/>
      <c r="C12" s="106"/>
      <c r="D12" s="106"/>
      <c r="E12" s="106"/>
      <c r="F12" s="106"/>
    </row>
    <row r="13" spans="1:6" x14ac:dyDescent="0.25">
      <c r="A13" s="11" t="s">
        <v>11</v>
      </c>
      <c r="B13" s="12" t="s">
        <v>24</v>
      </c>
      <c r="C13" s="12"/>
      <c r="D13" s="11" t="s">
        <v>25</v>
      </c>
      <c r="E13" s="12" t="s">
        <v>26</v>
      </c>
      <c r="F13" s="12"/>
    </row>
  </sheetData>
  <mergeCells count="1">
    <mergeCell ref="A12:F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447D-2DC5-472F-8174-F59F96186E36}">
  <dimension ref="A1:N13"/>
  <sheetViews>
    <sheetView zoomScale="85" zoomScaleNormal="85" workbookViewId="0">
      <selection activeCell="K22" sqref="K22"/>
    </sheetView>
  </sheetViews>
  <sheetFormatPr baseColWidth="10" defaultRowHeight="15" x14ac:dyDescent="0.25"/>
  <cols>
    <col min="1" max="1" width="10.140625" customWidth="1"/>
    <col min="2" max="2" width="25.5703125" customWidth="1"/>
    <col min="3" max="3" width="13.85546875" customWidth="1"/>
    <col min="5" max="5" width="14.28515625" customWidth="1"/>
    <col min="8" max="8" width="27.7109375" customWidth="1"/>
    <col min="9" max="9" width="35.85546875" customWidth="1"/>
    <col min="10" max="10" width="17.5703125" customWidth="1"/>
    <col min="11" max="11" width="12.42578125" customWidth="1"/>
    <col min="12" max="12" width="20" customWidth="1"/>
    <col min="13" max="13" width="8.85546875" customWidth="1"/>
    <col min="14" max="14" width="29.140625" customWidth="1"/>
  </cols>
  <sheetData>
    <row r="1" spans="1:14" x14ac:dyDescent="0.25">
      <c r="A1" s="13" t="s">
        <v>1</v>
      </c>
      <c r="B1" s="13" t="s">
        <v>62</v>
      </c>
      <c r="C1" s="13" t="s">
        <v>9</v>
      </c>
      <c r="D1" s="13" t="s">
        <v>10</v>
      </c>
      <c r="E1" s="18"/>
      <c r="F1" s="18"/>
      <c r="G1" s="18"/>
      <c r="I1" s="9" t="s">
        <v>1</v>
      </c>
      <c r="J1" s="9" t="s">
        <v>21</v>
      </c>
      <c r="K1" s="9" t="s">
        <v>22</v>
      </c>
      <c r="L1" s="9" t="s">
        <v>9</v>
      </c>
      <c r="M1" s="9" t="s">
        <v>10</v>
      </c>
      <c r="N1" s="9"/>
    </row>
    <row r="2" spans="1:14" x14ac:dyDescent="0.25">
      <c r="A2" s="14">
        <v>0</v>
      </c>
      <c r="B2">
        <f>K2-(((K3-K2)^2)/(K4-2*K3+K2))</f>
        <v>1.4142857142857144</v>
      </c>
      <c r="E2" s="18"/>
      <c r="F2" s="18"/>
      <c r="G2" s="18"/>
      <c r="I2" s="10">
        <v>0</v>
      </c>
      <c r="J2" s="10">
        <v>1</v>
      </c>
      <c r="K2" s="10">
        <f t="shared" ref="K2:K11" si="0">(J2+2)/(J2+1)</f>
        <v>1.5</v>
      </c>
      <c r="L2" s="10"/>
      <c r="M2" s="10"/>
      <c r="N2" s="10"/>
    </row>
    <row r="3" spans="1:14" x14ac:dyDescent="0.25">
      <c r="A3" s="13">
        <v>1</v>
      </c>
      <c r="B3">
        <f>K3-(((K4-K3)^2)/(K5-2*K4+K3))</f>
        <v>1.4142156862745097</v>
      </c>
      <c r="C3">
        <f>ABS((B3-B2)/B3)*100</f>
        <v>4.9517207229669092E-3</v>
      </c>
      <c r="D3" s="9" t="str">
        <f>IF(C3&lt;0.00001,"SI","NO")</f>
        <v>NO</v>
      </c>
      <c r="E3" s="18"/>
      <c r="F3" s="18"/>
      <c r="G3" s="18"/>
      <c r="I3" s="9">
        <v>1</v>
      </c>
      <c r="J3" s="9">
        <f t="shared" ref="J3:J11" si="1">K2</f>
        <v>1.5</v>
      </c>
      <c r="K3" s="9">
        <f t="shared" si="0"/>
        <v>1.4</v>
      </c>
      <c r="L3" s="9">
        <f t="shared" ref="L3:L11" si="2">ABS((K3-J3)/K3)*100</f>
        <v>7.1428571428571495</v>
      </c>
      <c r="M3" s="9" t="str">
        <f>IF(L3&lt;0.00001,"SI","NO")</f>
        <v>NO</v>
      </c>
      <c r="N3" s="9"/>
    </row>
    <row r="4" spans="1:14" x14ac:dyDescent="0.25">
      <c r="A4" s="13">
        <v>2</v>
      </c>
      <c r="B4">
        <f>K4-(((K5-K4)^2)/(K6-2*K5+K4))</f>
        <v>1.4142136248948698</v>
      </c>
      <c r="C4">
        <f t="shared" ref="C4:C5" si="3">ABS((B4-B3)/B4)*100</f>
        <v>1.457615457513344E-4</v>
      </c>
      <c r="D4" s="9" t="str">
        <f t="shared" ref="D4:D5" si="4">IF(C4&lt;0.00001,"SI","NO")</f>
        <v>NO</v>
      </c>
      <c r="E4" s="18"/>
      <c r="F4" s="18"/>
      <c r="G4" s="18"/>
      <c r="I4" s="10">
        <v>2</v>
      </c>
      <c r="J4" s="10">
        <f t="shared" si="1"/>
        <v>1.4</v>
      </c>
      <c r="K4" s="10">
        <f t="shared" si="0"/>
        <v>1.4166666666666667</v>
      </c>
      <c r="L4" s="10">
        <f t="shared" si="2"/>
        <v>1.1764705882353055</v>
      </c>
      <c r="M4" s="9" t="str">
        <f t="shared" ref="M4:M11" si="5">IF(L4&lt;0.00001,"SI","NO")</f>
        <v>NO</v>
      </c>
      <c r="N4" s="9"/>
    </row>
    <row r="5" spans="1:14" x14ac:dyDescent="0.25">
      <c r="A5" s="64">
        <v>3</v>
      </c>
      <c r="B5" s="65">
        <f>K5-(((K6-K5)^2)/(K7-2*K6+K5))</f>
        <v>1.4142135642135643</v>
      </c>
      <c r="C5" s="65">
        <f t="shared" si="3"/>
        <v>4.2908162579872631E-6</v>
      </c>
      <c r="D5" s="66" t="str">
        <f t="shared" si="4"/>
        <v>SI</v>
      </c>
      <c r="E5" s="18"/>
      <c r="F5" s="18"/>
      <c r="G5" s="18"/>
      <c r="I5" s="9">
        <v>3</v>
      </c>
      <c r="J5" s="10">
        <f t="shared" si="1"/>
        <v>1.4166666666666667</v>
      </c>
      <c r="K5" s="10">
        <f t="shared" si="0"/>
        <v>1.4137931034482758</v>
      </c>
      <c r="L5" s="10">
        <f t="shared" si="2"/>
        <v>0.20325203252033477</v>
      </c>
      <c r="M5" s="9" t="str">
        <f t="shared" si="5"/>
        <v>NO</v>
      </c>
      <c r="N5" s="9"/>
    </row>
    <row r="6" spans="1:14" ht="17.25" x14ac:dyDescent="0.25">
      <c r="A6" s="101" t="s">
        <v>76</v>
      </c>
      <c r="B6" s="63"/>
      <c r="C6" s="63"/>
      <c r="D6" s="63"/>
      <c r="E6" s="63"/>
      <c r="F6" s="63"/>
      <c r="G6" s="63"/>
      <c r="I6" s="10">
        <v>4</v>
      </c>
      <c r="J6" s="10">
        <f t="shared" si="1"/>
        <v>1.4137931034482758</v>
      </c>
      <c r="K6" s="10">
        <f t="shared" si="0"/>
        <v>1.4142857142857144</v>
      </c>
      <c r="L6" s="10">
        <f t="shared" si="2"/>
        <v>3.4831069313838094E-2</v>
      </c>
      <c r="M6" s="9" t="str">
        <f t="shared" si="5"/>
        <v>NO</v>
      </c>
      <c r="N6" s="9"/>
    </row>
    <row r="7" spans="1:14" x14ac:dyDescent="0.25">
      <c r="A7" s="16" t="s">
        <v>11</v>
      </c>
      <c r="B7" s="17" t="s">
        <v>12</v>
      </c>
      <c r="C7" s="17"/>
      <c r="D7" s="16" t="s">
        <v>27</v>
      </c>
      <c r="E7" s="17" t="s">
        <v>28</v>
      </c>
      <c r="F7" s="16" t="s">
        <v>29</v>
      </c>
      <c r="G7" s="17" t="s">
        <v>30</v>
      </c>
      <c r="I7" s="9">
        <v>5</v>
      </c>
      <c r="J7" s="10">
        <f t="shared" si="1"/>
        <v>1.4142857142857144</v>
      </c>
      <c r="K7" s="10">
        <f t="shared" si="0"/>
        <v>1.4142011834319526</v>
      </c>
      <c r="L7" s="10">
        <f t="shared" si="2"/>
        <v>5.9772863120276104E-3</v>
      </c>
      <c r="M7" s="9" t="str">
        <f t="shared" si="5"/>
        <v>NO</v>
      </c>
      <c r="N7" s="9"/>
    </row>
    <row r="8" spans="1:14" x14ac:dyDescent="0.25">
      <c r="A8" s="18" t="s">
        <v>31</v>
      </c>
      <c r="B8" s="18"/>
      <c r="C8" s="18"/>
      <c r="D8" s="18"/>
      <c r="E8" s="18"/>
      <c r="F8" s="18"/>
      <c r="G8" s="18"/>
      <c r="I8" s="10">
        <v>6</v>
      </c>
      <c r="J8" s="10">
        <f t="shared" si="1"/>
        <v>1.4142011834319526</v>
      </c>
      <c r="K8" s="10">
        <f t="shared" si="0"/>
        <v>1.4142156862745099</v>
      </c>
      <c r="L8" s="10">
        <f t="shared" si="2"/>
        <v>1.0255042917487426E-3</v>
      </c>
      <c r="M8" s="9" t="str">
        <f t="shared" si="5"/>
        <v>NO</v>
      </c>
      <c r="N8" s="9"/>
    </row>
    <row r="9" spans="1:14" x14ac:dyDescent="0.25">
      <c r="I9" s="9">
        <v>7</v>
      </c>
      <c r="J9" s="10">
        <f t="shared" si="1"/>
        <v>1.4142156862745099</v>
      </c>
      <c r="K9" s="10">
        <f t="shared" si="0"/>
        <v>1.4142131979695431</v>
      </c>
      <c r="L9" s="10">
        <f t="shared" si="2"/>
        <v>1.7594977690165976E-4</v>
      </c>
      <c r="M9" s="9" t="str">
        <f t="shared" si="5"/>
        <v>NO</v>
      </c>
      <c r="N9" s="9"/>
    </row>
    <row r="10" spans="1:14" x14ac:dyDescent="0.25">
      <c r="I10" s="10">
        <v>8</v>
      </c>
      <c r="J10" s="10">
        <f t="shared" si="1"/>
        <v>1.4142131979695431</v>
      </c>
      <c r="K10" s="10">
        <f t="shared" si="0"/>
        <v>1.4142136248948696</v>
      </c>
      <c r="L10" s="10">
        <f t="shared" si="2"/>
        <v>3.0188178002891669E-5</v>
      </c>
      <c r="M10" s="9" t="str">
        <f t="shared" si="5"/>
        <v>NO</v>
      </c>
      <c r="N10" s="9"/>
    </row>
    <row r="11" spans="1:14" x14ac:dyDescent="0.25">
      <c r="I11" s="9">
        <v>9</v>
      </c>
      <c r="J11" s="10">
        <f t="shared" si="1"/>
        <v>1.4142136248948696</v>
      </c>
      <c r="K11" s="10">
        <f t="shared" si="0"/>
        <v>1.4142135516460548</v>
      </c>
      <c r="L11" s="10">
        <f t="shared" si="2"/>
        <v>5.1794734045766844E-6</v>
      </c>
      <c r="M11" s="9" t="str">
        <f t="shared" si="5"/>
        <v>SI</v>
      </c>
      <c r="N11" s="9"/>
    </row>
    <row r="12" spans="1:14" ht="17.25" x14ac:dyDescent="0.25">
      <c r="I12" s="62" t="s">
        <v>74</v>
      </c>
      <c r="J12" s="62"/>
      <c r="K12" s="62"/>
      <c r="L12" s="62"/>
      <c r="M12" s="62"/>
      <c r="N12" s="62"/>
    </row>
    <row r="13" spans="1:14" x14ac:dyDescent="0.25">
      <c r="I13" s="11" t="s">
        <v>11</v>
      </c>
      <c r="J13" s="12" t="s">
        <v>24</v>
      </c>
      <c r="K13" s="12"/>
      <c r="L13" s="11" t="s">
        <v>25</v>
      </c>
      <c r="M13" s="12" t="s">
        <v>26</v>
      </c>
      <c r="N13" s="1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7AF88-06F7-4044-9F40-933827DA0CBB}">
  <dimension ref="A1:O29"/>
  <sheetViews>
    <sheetView zoomScale="115" zoomScaleNormal="115" workbookViewId="0">
      <selection activeCell="I15" sqref="I15"/>
    </sheetView>
  </sheetViews>
  <sheetFormatPr baseColWidth="10" defaultRowHeight="15" x14ac:dyDescent="0.25"/>
  <cols>
    <col min="9" max="9" width="23.28515625" customWidth="1"/>
    <col min="10" max="10" width="24" customWidth="1"/>
    <col min="11" max="11" width="12.42578125" bestFit="1" customWidth="1"/>
    <col min="13" max="13" width="20.42578125" customWidth="1"/>
    <col min="15" max="15" width="31" customWidth="1"/>
  </cols>
  <sheetData>
    <row r="1" spans="1:15" x14ac:dyDescent="0.25">
      <c r="A1" s="72" t="s">
        <v>1</v>
      </c>
      <c r="B1" s="73" t="s">
        <v>62</v>
      </c>
      <c r="C1" s="73" t="s">
        <v>9</v>
      </c>
      <c r="D1" s="73" t="s">
        <v>10</v>
      </c>
      <c r="E1" s="74"/>
      <c r="F1" s="74"/>
      <c r="G1" s="75"/>
    </row>
    <row r="2" spans="1:15" x14ac:dyDescent="0.25">
      <c r="A2" s="76">
        <v>0</v>
      </c>
      <c r="B2" s="77">
        <f>J8-(((J9-J8)^2)/(J10-2*J9+J8))</f>
        <v>1.4142135623746901</v>
      </c>
      <c r="C2" s="77"/>
      <c r="D2" s="77"/>
      <c r="E2" s="77"/>
      <c r="F2" s="77"/>
      <c r="G2" s="78"/>
    </row>
    <row r="3" spans="1:15" ht="15" customHeight="1" x14ac:dyDescent="0.25">
      <c r="A3" s="79">
        <v>1</v>
      </c>
      <c r="B3" s="80">
        <f>J9-(((J10-J9)^2)/(J11-2*J10+J9))</f>
        <v>1.4142135623730965</v>
      </c>
      <c r="C3" s="80">
        <f>ABS((B3-B2)/B3)*100</f>
        <v>1.1268553575973441E-10</v>
      </c>
      <c r="D3" s="71" t="str">
        <f>IF(C3&lt;0.00001,"SI","NO")</f>
        <v>SI</v>
      </c>
      <c r="E3" s="77"/>
      <c r="F3" s="77"/>
      <c r="G3" s="78"/>
    </row>
    <row r="4" spans="1:15" ht="15" customHeight="1" x14ac:dyDescent="0.25">
      <c r="A4" s="81" t="s">
        <v>68</v>
      </c>
      <c r="B4" s="82"/>
      <c r="C4" s="82"/>
      <c r="D4" s="82"/>
      <c r="E4" s="82"/>
      <c r="F4" s="82"/>
      <c r="G4" s="83" t="s">
        <v>65</v>
      </c>
    </row>
    <row r="5" spans="1:15" ht="15" customHeight="1" x14ac:dyDescent="0.25">
      <c r="A5" s="84" t="s">
        <v>11</v>
      </c>
      <c r="B5" s="85" t="s">
        <v>12</v>
      </c>
      <c r="C5" s="85"/>
      <c r="D5" s="86" t="s">
        <v>27</v>
      </c>
      <c r="E5" s="85" t="s">
        <v>63</v>
      </c>
      <c r="F5" s="86" t="s">
        <v>29</v>
      </c>
      <c r="G5" s="87"/>
    </row>
    <row r="6" spans="1:15" ht="15" customHeight="1" x14ac:dyDescent="0.25">
      <c r="A6" s="88" t="s">
        <v>66</v>
      </c>
      <c r="B6" s="89"/>
      <c r="C6" s="89"/>
      <c r="D6" s="89"/>
      <c r="E6" s="89"/>
      <c r="F6" s="89"/>
      <c r="G6" s="90"/>
    </row>
    <row r="7" spans="1:15" ht="15" customHeight="1" x14ac:dyDescent="0.25">
      <c r="I7" s="72" t="s">
        <v>1</v>
      </c>
      <c r="J7" s="91" t="s">
        <v>62</v>
      </c>
      <c r="K7" s="73" t="s">
        <v>9</v>
      </c>
      <c r="L7" s="73" t="s">
        <v>10</v>
      </c>
      <c r="M7" s="74"/>
      <c r="N7" s="74"/>
      <c r="O7" s="92"/>
    </row>
    <row r="8" spans="1:15" ht="15" customHeight="1" x14ac:dyDescent="0.25">
      <c r="I8" s="93">
        <v>0</v>
      </c>
      <c r="J8" s="69">
        <f>K20-(((K21-K20)^2)/(K22-2*K21+K20))</f>
        <v>1.4142857142857144</v>
      </c>
      <c r="K8" s="69"/>
      <c r="L8" s="68"/>
      <c r="M8" s="68"/>
      <c r="N8" s="68"/>
      <c r="O8" s="94"/>
    </row>
    <row r="9" spans="1:15" ht="15" customHeight="1" x14ac:dyDescent="0.25">
      <c r="I9" s="95">
        <v>1</v>
      </c>
      <c r="J9" s="69">
        <f>K21-(((K22-K21)^2)/(K23-2*K22+K21))</f>
        <v>1.4142156862745097</v>
      </c>
      <c r="K9" s="69">
        <f>ABS((J9-J8)/J9)*100</f>
        <v>4.9517207229669092E-3</v>
      </c>
      <c r="L9" s="70" t="str">
        <f>IF(K9&lt;0.00001,"SI","NO")</f>
        <v>NO</v>
      </c>
      <c r="M9" s="68"/>
      <c r="N9" s="68"/>
      <c r="O9" s="94"/>
    </row>
    <row r="10" spans="1:15" ht="15" customHeight="1" x14ac:dyDescent="0.25">
      <c r="I10" s="96">
        <v>2</v>
      </c>
      <c r="J10" s="69">
        <f>K22-(((K23-K22)^2)/(K24-2*K23+K22))</f>
        <v>1.4142136248948698</v>
      </c>
      <c r="K10" s="69">
        <f t="shared" ref="K10:K11" si="0">ABS((J10-J9)/J10)*100</f>
        <v>1.457615457513344E-4</v>
      </c>
      <c r="L10" s="70" t="str">
        <f t="shared" ref="L10:L11" si="1">IF(K10&lt;0.00001,"SI","NO")</f>
        <v>NO</v>
      </c>
      <c r="M10" s="68"/>
      <c r="N10" s="68"/>
      <c r="O10" s="94"/>
    </row>
    <row r="11" spans="1:15" ht="15" customHeight="1" x14ac:dyDescent="0.25">
      <c r="I11" s="97">
        <v>3</v>
      </c>
      <c r="J11" s="80">
        <f>K23-(((K24-K23)^2)/(K25-2*K24+K23))</f>
        <v>1.4142135642135643</v>
      </c>
      <c r="K11" s="80">
        <f t="shared" si="0"/>
        <v>4.2908162579872631E-6</v>
      </c>
      <c r="L11" s="67" t="str">
        <f t="shared" si="1"/>
        <v>SI</v>
      </c>
      <c r="M11" s="18"/>
      <c r="N11" s="18"/>
      <c r="O11" s="87"/>
    </row>
    <row r="12" spans="1:15" ht="17.25" x14ac:dyDescent="0.25">
      <c r="I12" s="81" t="s">
        <v>67</v>
      </c>
      <c r="J12" s="82"/>
      <c r="K12" s="82"/>
      <c r="L12" s="82"/>
      <c r="M12" s="82"/>
      <c r="N12" s="82"/>
      <c r="O12" s="98"/>
    </row>
    <row r="13" spans="1:15" x14ac:dyDescent="0.25">
      <c r="I13" s="84" t="s">
        <v>11</v>
      </c>
      <c r="J13" s="85" t="s">
        <v>12</v>
      </c>
      <c r="K13" s="85"/>
      <c r="L13" s="86" t="s">
        <v>27</v>
      </c>
      <c r="M13" s="99" t="s">
        <v>28</v>
      </c>
      <c r="N13" s="86" t="s">
        <v>29</v>
      </c>
      <c r="O13" s="83" t="s">
        <v>30</v>
      </c>
    </row>
    <row r="14" spans="1:15" x14ac:dyDescent="0.25">
      <c r="I14" s="88" t="s">
        <v>64</v>
      </c>
      <c r="J14" s="89"/>
      <c r="K14" s="89"/>
      <c r="L14" s="89"/>
      <c r="M14" s="89"/>
      <c r="N14" s="89"/>
      <c r="O14" s="90"/>
    </row>
    <row r="15" spans="1:15" x14ac:dyDescent="0.25">
      <c r="I15" t="s">
        <v>77</v>
      </c>
    </row>
    <row r="17" spans="9:14" ht="17.25" x14ac:dyDescent="0.25">
      <c r="I17" s="62" t="s">
        <v>75</v>
      </c>
      <c r="J17" s="62"/>
      <c r="K17" s="62"/>
      <c r="L17" s="62"/>
      <c r="M17" s="62"/>
      <c r="N17" s="62"/>
    </row>
    <row r="18" spans="9:14" x14ac:dyDescent="0.25">
      <c r="I18" s="11" t="s">
        <v>11</v>
      </c>
      <c r="J18" s="12" t="s">
        <v>24</v>
      </c>
      <c r="K18" s="12"/>
      <c r="L18" s="11" t="s">
        <v>25</v>
      </c>
      <c r="M18" s="12" t="s">
        <v>26</v>
      </c>
      <c r="N18" s="12"/>
    </row>
    <row r="19" spans="9:14" x14ac:dyDescent="0.25">
      <c r="I19" s="9" t="s">
        <v>1</v>
      </c>
      <c r="J19" s="9" t="s">
        <v>21</v>
      </c>
      <c r="K19" s="9" t="s">
        <v>22</v>
      </c>
      <c r="L19" s="9" t="s">
        <v>9</v>
      </c>
      <c r="M19" s="9" t="s">
        <v>10</v>
      </c>
      <c r="N19" s="9"/>
    </row>
    <row r="20" spans="9:14" x14ac:dyDescent="0.25">
      <c r="I20" s="10">
        <v>0</v>
      </c>
      <c r="J20" s="10">
        <v>1</v>
      </c>
      <c r="K20" s="10">
        <f t="shared" ref="K20:K29" si="2">(J20+2)/(J20+1)</f>
        <v>1.5</v>
      </c>
      <c r="L20" s="10"/>
      <c r="M20" s="10"/>
      <c r="N20" s="10"/>
    </row>
    <row r="21" spans="9:14" x14ac:dyDescent="0.25">
      <c r="I21" s="9">
        <v>1</v>
      </c>
      <c r="J21" s="9">
        <f t="shared" ref="J21:J29" si="3">K20</f>
        <v>1.5</v>
      </c>
      <c r="K21" s="9">
        <f t="shared" si="2"/>
        <v>1.4</v>
      </c>
      <c r="L21" s="9">
        <f t="shared" ref="L21:L29" si="4">ABS((K21-J21)/K21)*100</f>
        <v>7.1428571428571495</v>
      </c>
      <c r="M21" s="9" t="str">
        <f>IF(L21&lt;0.00001,"SI","NO")</f>
        <v>NO</v>
      </c>
      <c r="N21" s="9"/>
    </row>
    <row r="22" spans="9:14" x14ac:dyDescent="0.25">
      <c r="I22" s="10">
        <v>2</v>
      </c>
      <c r="J22" s="10">
        <f t="shared" si="3"/>
        <v>1.4</v>
      </c>
      <c r="K22" s="10">
        <f t="shared" si="2"/>
        <v>1.4166666666666667</v>
      </c>
      <c r="L22" s="10">
        <f t="shared" si="4"/>
        <v>1.1764705882353055</v>
      </c>
      <c r="M22" s="9" t="str">
        <f t="shared" ref="M22:M29" si="5">IF(L22&lt;0.00001,"SI","NO")</f>
        <v>NO</v>
      </c>
      <c r="N22" s="9"/>
    </row>
    <row r="23" spans="9:14" x14ac:dyDescent="0.25">
      <c r="I23" s="9">
        <v>3</v>
      </c>
      <c r="J23" s="10">
        <f t="shared" si="3"/>
        <v>1.4166666666666667</v>
      </c>
      <c r="K23" s="10">
        <f t="shared" si="2"/>
        <v>1.4137931034482758</v>
      </c>
      <c r="L23" s="10">
        <f t="shared" si="4"/>
        <v>0.20325203252033477</v>
      </c>
      <c r="M23" s="9" t="str">
        <f t="shared" si="5"/>
        <v>NO</v>
      </c>
      <c r="N23" s="9"/>
    </row>
    <row r="24" spans="9:14" x14ac:dyDescent="0.25">
      <c r="I24" s="10">
        <v>4</v>
      </c>
      <c r="J24" s="10">
        <f t="shared" si="3"/>
        <v>1.4137931034482758</v>
      </c>
      <c r="K24" s="10">
        <f t="shared" si="2"/>
        <v>1.4142857142857144</v>
      </c>
      <c r="L24" s="10">
        <f t="shared" si="4"/>
        <v>3.4831069313838094E-2</v>
      </c>
      <c r="M24" s="9" t="str">
        <f t="shared" si="5"/>
        <v>NO</v>
      </c>
      <c r="N24" s="9"/>
    </row>
    <row r="25" spans="9:14" x14ac:dyDescent="0.25">
      <c r="I25" s="9">
        <v>5</v>
      </c>
      <c r="J25" s="10">
        <f t="shared" si="3"/>
        <v>1.4142857142857144</v>
      </c>
      <c r="K25" s="10">
        <f t="shared" si="2"/>
        <v>1.4142011834319526</v>
      </c>
      <c r="L25" s="10">
        <f t="shared" si="4"/>
        <v>5.9772863120276104E-3</v>
      </c>
      <c r="M25" s="9" t="str">
        <f t="shared" si="5"/>
        <v>NO</v>
      </c>
      <c r="N25" s="9"/>
    </row>
    <row r="26" spans="9:14" x14ac:dyDescent="0.25">
      <c r="I26" s="10">
        <v>6</v>
      </c>
      <c r="J26" s="10">
        <f t="shared" si="3"/>
        <v>1.4142011834319526</v>
      </c>
      <c r="K26" s="10">
        <f t="shared" si="2"/>
        <v>1.4142156862745099</v>
      </c>
      <c r="L26" s="10">
        <f t="shared" si="4"/>
        <v>1.0255042917487426E-3</v>
      </c>
      <c r="M26" s="9" t="str">
        <f t="shared" si="5"/>
        <v>NO</v>
      </c>
      <c r="N26" s="9"/>
    </row>
    <row r="27" spans="9:14" x14ac:dyDescent="0.25">
      <c r="I27" s="9">
        <v>7</v>
      </c>
      <c r="J27" s="10">
        <f t="shared" si="3"/>
        <v>1.4142156862745099</v>
      </c>
      <c r="K27" s="10">
        <f t="shared" si="2"/>
        <v>1.4142131979695431</v>
      </c>
      <c r="L27" s="10">
        <f t="shared" si="4"/>
        <v>1.7594977690165976E-4</v>
      </c>
      <c r="M27" s="9" t="str">
        <f t="shared" si="5"/>
        <v>NO</v>
      </c>
      <c r="N27" s="9"/>
    </row>
    <row r="28" spans="9:14" x14ac:dyDescent="0.25">
      <c r="I28" s="10">
        <v>8</v>
      </c>
      <c r="J28" s="10">
        <f t="shared" si="3"/>
        <v>1.4142131979695431</v>
      </c>
      <c r="K28" s="10">
        <f t="shared" si="2"/>
        <v>1.4142136248948696</v>
      </c>
      <c r="L28" s="10">
        <f t="shared" si="4"/>
        <v>3.0188178002891669E-5</v>
      </c>
      <c r="M28" s="9" t="str">
        <f t="shared" si="5"/>
        <v>NO</v>
      </c>
      <c r="N28" s="9"/>
    </row>
    <row r="29" spans="9:14" x14ac:dyDescent="0.25">
      <c r="I29" s="9">
        <v>9</v>
      </c>
      <c r="J29" s="10">
        <f t="shared" si="3"/>
        <v>1.4142136248948696</v>
      </c>
      <c r="K29" s="10">
        <f t="shared" si="2"/>
        <v>1.4142135516460548</v>
      </c>
      <c r="L29" s="10">
        <f t="shared" si="4"/>
        <v>5.1794734045766844E-6</v>
      </c>
      <c r="M29" s="9" t="str">
        <f t="shared" si="5"/>
        <v>SI</v>
      </c>
      <c r="N29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98F9-D1E6-47CA-B1D8-A1F92231A3A2}">
  <dimension ref="A1:G9"/>
  <sheetViews>
    <sheetView zoomScale="130" zoomScaleNormal="130" workbookViewId="0">
      <selection activeCell="G6" sqref="G6"/>
    </sheetView>
  </sheetViews>
  <sheetFormatPr baseColWidth="10" defaultRowHeight="15" x14ac:dyDescent="0.25"/>
  <sheetData>
    <row r="1" spans="1:7" x14ac:dyDescent="0.25">
      <c r="A1" s="19" t="s">
        <v>1</v>
      </c>
      <c r="B1" s="19" t="s">
        <v>21</v>
      </c>
      <c r="C1" s="19" t="s">
        <v>32</v>
      </c>
      <c r="D1" s="19" t="s">
        <v>33</v>
      </c>
      <c r="E1" s="19" t="s">
        <v>34</v>
      </c>
      <c r="F1" s="19" t="s">
        <v>9</v>
      </c>
      <c r="G1" s="19" t="s">
        <v>10</v>
      </c>
    </row>
    <row r="2" spans="1:7" x14ac:dyDescent="0.25">
      <c r="A2" s="20">
        <v>0</v>
      </c>
      <c r="B2" s="20">
        <v>1</v>
      </c>
      <c r="C2" s="20">
        <f>B2^2-2</f>
        <v>-1</v>
      </c>
      <c r="D2" s="20">
        <f>2*B2</f>
        <v>2</v>
      </c>
      <c r="E2" s="20">
        <f>B2-(C2/D2)</f>
        <v>1.5</v>
      </c>
      <c r="F2" s="20"/>
      <c r="G2" s="20"/>
    </row>
    <row r="3" spans="1:7" x14ac:dyDescent="0.25">
      <c r="A3" s="19">
        <v>1</v>
      </c>
      <c r="B3" s="19">
        <f>E2</f>
        <v>1.5</v>
      </c>
      <c r="C3" s="19">
        <f>B3^2-2</f>
        <v>0.25</v>
      </c>
      <c r="D3" s="19">
        <f>2*B3</f>
        <v>3</v>
      </c>
      <c r="E3" s="19">
        <f>B3-(C3/D3)</f>
        <v>1.4166666666666667</v>
      </c>
      <c r="F3" s="19">
        <f>ABS((E3-B3)/E3)*100</f>
        <v>5.8823529411764648</v>
      </c>
      <c r="G3" s="19" t="str">
        <f>IF(F3&lt;0.00001,"SI","NO")</f>
        <v>NO</v>
      </c>
    </row>
    <row r="4" spans="1:7" x14ac:dyDescent="0.25">
      <c r="A4" s="20">
        <v>2</v>
      </c>
      <c r="B4" s="20">
        <f>E3</f>
        <v>1.4166666666666667</v>
      </c>
      <c r="C4" s="20">
        <f>B4^2-2</f>
        <v>6.9444444444446418E-3</v>
      </c>
      <c r="D4" s="20">
        <f>2*B4</f>
        <v>2.8333333333333335</v>
      </c>
      <c r="E4" s="20">
        <f>B4-(C4/D4)</f>
        <v>1.4142156862745099</v>
      </c>
      <c r="F4" s="20">
        <f>ABS((E4-B4)/E4)*100</f>
        <v>0.17331022530329226</v>
      </c>
      <c r="G4" s="20" t="str">
        <f>IF(F4&lt;0.00001,"SI","NO")</f>
        <v>NO</v>
      </c>
    </row>
    <row r="5" spans="1:7" x14ac:dyDescent="0.25">
      <c r="A5" s="19">
        <v>3</v>
      </c>
      <c r="B5" s="19">
        <f>E4</f>
        <v>1.4142156862745099</v>
      </c>
      <c r="C5" s="19">
        <f>B5^2-2</f>
        <v>6.0073048828712672E-6</v>
      </c>
      <c r="D5" s="19">
        <f>2*B5</f>
        <v>2.8284313725490198</v>
      </c>
      <c r="E5" s="19">
        <f>B5-(C5/D5)</f>
        <v>1.4142135623746899</v>
      </c>
      <c r="F5" s="19">
        <f>ABS((E5-B5)/E5)*100</f>
        <v>1.5018239652930855E-4</v>
      </c>
      <c r="G5" s="19" t="str">
        <f>IF(F5&lt;0.00001,"SI","NO")</f>
        <v>NO</v>
      </c>
    </row>
    <row r="6" spans="1:7" x14ac:dyDescent="0.25">
      <c r="A6" s="20">
        <v>4</v>
      </c>
      <c r="B6" s="20">
        <f>E5</f>
        <v>1.4142135623746899</v>
      </c>
      <c r="C6" s="20">
        <f>B6^2-2</f>
        <v>4.510614104447086E-12</v>
      </c>
      <c r="D6" s="20">
        <f>2*B6</f>
        <v>2.8284271247493797</v>
      </c>
      <c r="E6" s="20">
        <f>B6-(C6/D6)</f>
        <v>1.4142135623730951</v>
      </c>
      <c r="F6" s="20">
        <f>ABS((E6-B6)/E6)*100</f>
        <v>1.1276404038266872E-10</v>
      </c>
      <c r="G6" s="20" t="str">
        <f>IF(F6&lt;0.00001,"SI","NO")</f>
        <v>SI</v>
      </c>
    </row>
    <row r="7" spans="1:7" ht="17.25" x14ac:dyDescent="0.25">
      <c r="A7" s="107" t="s">
        <v>35</v>
      </c>
      <c r="B7" s="107"/>
      <c r="C7" s="107"/>
      <c r="D7" s="107"/>
      <c r="E7" s="107"/>
      <c r="F7" s="107"/>
      <c r="G7" s="107"/>
    </row>
    <row r="8" spans="1:7" x14ac:dyDescent="0.25">
      <c r="A8" s="21" t="s">
        <v>11</v>
      </c>
      <c r="B8" s="22" t="s">
        <v>36</v>
      </c>
      <c r="C8" s="22"/>
      <c r="D8" s="21" t="s">
        <v>19</v>
      </c>
      <c r="E8" s="22" t="s">
        <v>37</v>
      </c>
      <c r="F8" s="22"/>
      <c r="G8" s="22"/>
    </row>
    <row r="9" spans="1:7" ht="15.75" thickBot="1" x14ac:dyDescent="0.3">
      <c r="A9" s="23"/>
      <c r="B9" s="24" t="s">
        <v>38</v>
      </c>
      <c r="C9" s="23"/>
      <c r="D9" s="23"/>
      <c r="E9" s="23"/>
      <c r="F9" s="23"/>
      <c r="G9" s="23"/>
    </row>
  </sheetData>
  <mergeCells count="1">
    <mergeCell ref="A7:G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A4A7-18CB-4E04-A28F-4DCD358D8553}">
  <dimension ref="A1:H9"/>
  <sheetViews>
    <sheetView zoomScale="160" zoomScaleNormal="160" workbookViewId="0">
      <selection activeCell="E9" sqref="E9"/>
    </sheetView>
  </sheetViews>
  <sheetFormatPr baseColWidth="10" defaultRowHeight="15" x14ac:dyDescent="0.25"/>
  <cols>
    <col min="1" max="2" width="11.42578125" customWidth="1"/>
  </cols>
  <sheetData>
    <row r="1" spans="1:8" ht="15.75" thickBot="1" x14ac:dyDescent="0.3">
      <c r="A1" s="27" t="s">
        <v>1</v>
      </c>
      <c r="B1" s="27" t="s">
        <v>21</v>
      </c>
      <c r="C1" s="27" t="s">
        <v>32</v>
      </c>
      <c r="D1" s="102" t="s">
        <v>33</v>
      </c>
      <c r="E1" s="102" t="s">
        <v>40</v>
      </c>
      <c r="F1" s="27" t="s">
        <v>34</v>
      </c>
      <c r="G1" s="27" t="s">
        <v>9</v>
      </c>
      <c r="H1" s="27" t="s">
        <v>10</v>
      </c>
    </row>
    <row r="2" spans="1:8" x14ac:dyDescent="0.25">
      <c r="A2" s="28">
        <v>0</v>
      </c>
      <c r="B2" s="28">
        <v>1</v>
      </c>
      <c r="C2" s="28">
        <f>B2^2-2</f>
        <v>-1</v>
      </c>
      <c r="D2" s="28">
        <f>2*(B2)</f>
        <v>2</v>
      </c>
      <c r="E2" s="28">
        <f>$B$9</f>
        <v>2</v>
      </c>
      <c r="F2" s="28">
        <f>B2-((C2*D2)/(D2^2-C2*E2))</f>
        <v>1.3333333333333333</v>
      </c>
      <c r="G2" s="28">
        <f>ABS((F2-B2)/F2)*100</f>
        <v>24.999999999999993</v>
      </c>
      <c r="H2" s="29" t="str">
        <f>IF(G2&lt;0.00001,"SI","NO")</f>
        <v>NO</v>
      </c>
    </row>
    <row r="3" spans="1:8" x14ac:dyDescent="0.25">
      <c r="A3" s="29">
        <v>1</v>
      </c>
      <c r="B3" s="29">
        <f>F2</f>
        <v>1.3333333333333333</v>
      </c>
      <c r="C3" s="29">
        <f t="shared" ref="C3:C6" si="0">B3^2-2</f>
        <v>-0.22222222222222232</v>
      </c>
      <c r="D3" s="28">
        <f t="shared" ref="D3" si="1">2*(B3)</f>
        <v>2.6666666666666665</v>
      </c>
      <c r="E3" s="29">
        <f>$B$9</f>
        <v>2</v>
      </c>
      <c r="F3" s="28">
        <f t="shared" ref="F3" si="2">B3-((C3*D3)/(D3^2-C3*E3))</f>
        <v>1.4117647058823528</v>
      </c>
      <c r="G3" s="29">
        <f>ABS((F3-B3)/F3)*100</f>
        <v>5.5555555555555518</v>
      </c>
      <c r="H3" s="29" t="str">
        <f>IF(G3&lt;0.00001,"SI","NO")</f>
        <v>NO</v>
      </c>
    </row>
    <row r="4" spans="1:8" x14ac:dyDescent="0.25">
      <c r="A4" s="28">
        <v>2</v>
      </c>
      <c r="B4" s="29">
        <f t="shared" ref="B4:B6" si="3">F3</f>
        <v>1.4117647058823528</v>
      </c>
      <c r="C4" s="29">
        <f t="shared" si="0"/>
        <v>-6.9204152249138229E-3</v>
      </c>
      <c r="D4" s="28">
        <f t="shared" ref="D4:D6" si="4">2*(B4)</f>
        <v>2.8235294117647056</v>
      </c>
      <c r="E4" s="29">
        <f>$B$9</f>
        <v>2</v>
      </c>
      <c r="F4" s="28">
        <f t="shared" ref="F4:F6" si="5">B4-((C4*D4)/(D4^2-C4*E4))</f>
        <v>1.4142114384748701</v>
      </c>
      <c r="G4" s="29">
        <f t="shared" ref="G4:G6" si="6">ABS((F4-B4)/F4)*100</f>
        <v>0.17301038062285068</v>
      </c>
      <c r="H4" s="29" t="str">
        <f t="shared" ref="H4:H6" si="7">IF(G4&lt;0.00001,"SI","NO")</f>
        <v>NO</v>
      </c>
    </row>
    <row r="5" spans="1:8" x14ac:dyDescent="0.25">
      <c r="A5" s="29">
        <v>3</v>
      </c>
      <c r="B5" s="29">
        <f t="shared" si="3"/>
        <v>1.4142114384748701</v>
      </c>
      <c r="C5" s="29">
        <f t="shared" si="0"/>
        <v>-6.0072868388605372E-6</v>
      </c>
      <c r="D5" s="28">
        <f t="shared" si="4"/>
        <v>2.8284228769497402</v>
      </c>
      <c r="E5" s="29">
        <f>$B$9</f>
        <v>2</v>
      </c>
      <c r="F5" s="28">
        <f t="shared" si="5"/>
        <v>1.4142135623715002</v>
      </c>
      <c r="G5" s="29">
        <f t="shared" si="6"/>
        <v>1.5018217097016465E-4</v>
      </c>
      <c r="H5" s="29" t="str">
        <f t="shared" si="7"/>
        <v>NO</v>
      </c>
    </row>
    <row r="6" spans="1:8" x14ac:dyDescent="0.25">
      <c r="A6" s="28">
        <v>4</v>
      </c>
      <c r="B6" s="29">
        <f t="shared" si="3"/>
        <v>1.4142135623715002</v>
      </c>
      <c r="C6" s="29">
        <f t="shared" si="0"/>
        <v>-4.510836149052011E-12</v>
      </c>
      <c r="D6" s="28">
        <f t="shared" si="4"/>
        <v>2.8284271247430004</v>
      </c>
      <c r="E6" s="29">
        <f>$B$9</f>
        <v>2</v>
      </c>
      <c r="F6" s="28">
        <f t="shared" si="5"/>
        <v>1.4142135623730949</v>
      </c>
      <c r="G6" s="29">
        <f t="shared" si="6"/>
        <v>1.1276404038266874E-10</v>
      </c>
      <c r="H6" s="29" t="str">
        <f t="shared" si="7"/>
        <v>SI</v>
      </c>
    </row>
    <row r="7" spans="1:8" ht="17.25" x14ac:dyDescent="0.25">
      <c r="A7" s="35" t="s">
        <v>39</v>
      </c>
      <c r="B7" s="35"/>
      <c r="C7" s="35"/>
      <c r="D7" s="35"/>
      <c r="E7" s="35"/>
      <c r="F7" s="35"/>
      <c r="G7" s="35"/>
      <c r="H7" s="108"/>
    </row>
    <row r="8" spans="1:8" x14ac:dyDescent="0.25">
      <c r="A8" s="25" t="s">
        <v>11</v>
      </c>
      <c r="B8" s="26" t="s">
        <v>36</v>
      </c>
      <c r="C8" s="26"/>
      <c r="D8" s="25" t="s">
        <v>19</v>
      </c>
      <c r="E8" s="103" t="s">
        <v>73</v>
      </c>
      <c r="F8" s="26"/>
      <c r="G8" s="26"/>
      <c r="H8" s="109"/>
    </row>
    <row r="9" spans="1:8" x14ac:dyDescent="0.25">
      <c r="A9" s="25" t="s">
        <v>43</v>
      </c>
      <c r="B9" s="26">
        <f>2*1</f>
        <v>2</v>
      </c>
      <c r="C9" s="26"/>
      <c r="D9" s="26"/>
      <c r="E9" s="26"/>
      <c r="F9" s="26"/>
      <c r="G9" s="26"/>
      <c r="H9" s="109"/>
    </row>
  </sheetData>
  <mergeCells count="1">
    <mergeCell ref="H7:H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1B57-4312-422E-B5CC-777F637D3A8C}">
  <dimension ref="A1:H6"/>
  <sheetViews>
    <sheetView workbookViewId="0">
      <selection activeCell="F3" sqref="F3"/>
    </sheetView>
  </sheetViews>
  <sheetFormatPr baseColWidth="10" defaultRowHeight="15" x14ac:dyDescent="0.25"/>
  <sheetData>
    <row r="1" spans="1:8" x14ac:dyDescent="0.25">
      <c r="A1" s="30" t="s">
        <v>1</v>
      </c>
      <c r="B1" s="30" t="s">
        <v>21</v>
      </c>
      <c r="C1" s="30" t="s">
        <v>32</v>
      </c>
      <c r="D1" s="30" t="s">
        <v>33</v>
      </c>
      <c r="E1" s="30" t="s">
        <v>40</v>
      </c>
      <c r="F1" s="30" t="s">
        <v>34</v>
      </c>
      <c r="G1" s="30" t="s">
        <v>9</v>
      </c>
      <c r="H1" s="30" t="s">
        <v>10</v>
      </c>
    </row>
    <row r="2" spans="1:8" x14ac:dyDescent="0.25">
      <c r="A2" s="31">
        <v>0</v>
      </c>
      <c r="B2" s="31">
        <v>1</v>
      </c>
      <c r="C2" s="31">
        <f>B2^2-2</f>
        <v>-1</v>
      </c>
      <c r="D2" s="31">
        <f>2*B2</f>
        <v>2</v>
      </c>
      <c r="E2" s="31">
        <v>2</v>
      </c>
      <c r="F2" s="31">
        <f>B2+((-D2+((D2)^2-2*E2*C2)^(1/2))/E2)</f>
        <v>1.4142135623730951</v>
      </c>
      <c r="G2" s="31">
        <f>ABS((F2-B2)/F2)*100</f>
        <v>29.289321881345252</v>
      </c>
      <c r="H2" s="31" t="str">
        <f>IF(G2&lt;0.00001,"SI","NO")</f>
        <v>NO</v>
      </c>
    </row>
    <row r="3" spans="1:8" x14ac:dyDescent="0.25">
      <c r="A3" s="30">
        <v>1</v>
      </c>
      <c r="B3" s="30">
        <f>F2</f>
        <v>1.4142135623730951</v>
      </c>
      <c r="C3" s="30">
        <f>B3^2-2</f>
        <v>0</v>
      </c>
      <c r="D3" s="30">
        <f>2*B3</f>
        <v>2.8284271247461903</v>
      </c>
      <c r="E3" s="30">
        <v>2</v>
      </c>
      <c r="F3" s="31">
        <f>B3+((-D3+((D3)^2-2*E3*C3)^(1/2))/E3)</f>
        <v>1.4142135623730951</v>
      </c>
      <c r="G3" s="30">
        <f>ABS((F3-B3)/F3)*100</f>
        <v>0</v>
      </c>
      <c r="H3" s="30" t="str">
        <f>IF(G3&lt;0.00001,"SI","NO")</f>
        <v>SI</v>
      </c>
    </row>
    <row r="4" spans="1:8" ht="17.25" x14ac:dyDescent="0.25">
      <c r="A4" s="110" t="s">
        <v>41</v>
      </c>
      <c r="B4" s="110"/>
      <c r="C4" s="110"/>
      <c r="D4" s="110"/>
      <c r="E4" s="110"/>
      <c r="F4" s="110"/>
      <c r="G4" s="110"/>
      <c r="H4" s="110"/>
    </row>
    <row r="5" spans="1:8" x14ac:dyDescent="0.25">
      <c r="A5" s="32" t="s">
        <v>11</v>
      </c>
      <c r="B5" s="33" t="s">
        <v>42</v>
      </c>
      <c r="C5" s="33"/>
      <c r="D5" s="33"/>
      <c r="E5" s="32" t="s">
        <v>19</v>
      </c>
      <c r="F5" s="33" t="s">
        <v>44</v>
      </c>
      <c r="G5" s="33"/>
      <c r="H5" s="33"/>
    </row>
    <row r="6" spans="1:8" ht="15.75" thickBot="1" x14ac:dyDescent="0.3">
      <c r="A6" s="34"/>
      <c r="B6" s="34"/>
      <c r="C6" s="34"/>
      <c r="D6" s="34"/>
      <c r="E6" s="34"/>
      <c r="F6" s="34"/>
      <c r="G6" s="34"/>
      <c r="H6" s="34"/>
    </row>
  </sheetData>
  <mergeCells count="1">
    <mergeCell ref="A4:H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8F6F-205D-4E45-B94F-B2E12916B350}">
  <dimension ref="A1:H8"/>
  <sheetViews>
    <sheetView workbookViewId="0">
      <selection activeCell="K15" sqref="K15"/>
    </sheetView>
  </sheetViews>
  <sheetFormatPr baseColWidth="10" defaultRowHeight="15" x14ac:dyDescent="0.25"/>
  <sheetData>
    <row r="1" spans="1:8" x14ac:dyDescent="0.25">
      <c r="A1" s="58" t="s">
        <v>1</v>
      </c>
      <c r="B1" s="58" t="s">
        <v>21</v>
      </c>
      <c r="C1" s="58" t="s">
        <v>32</v>
      </c>
      <c r="D1" s="58" t="s">
        <v>33</v>
      </c>
      <c r="E1" s="58" t="s">
        <v>40</v>
      </c>
      <c r="F1" s="58" t="s">
        <v>34</v>
      </c>
      <c r="G1" s="58" t="s">
        <v>9</v>
      </c>
      <c r="H1" s="58" t="s">
        <v>10</v>
      </c>
    </row>
    <row r="2" spans="1:8" x14ac:dyDescent="0.25">
      <c r="A2" s="57">
        <v>0</v>
      </c>
      <c r="B2" s="57">
        <v>1</v>
      </c>
      <c r="C2" s="57">
        <f>(B2)^2-2</f>
        <v>-1</v>
      </c>
      <c r="D2" s="57">
        <f>2*(B2)</f>
        <v>2</v>
      </c>
      <c r="E2" s="57">
        <f>$B$8</f>
        <v>2</v>
      </c>
      <c r="F2" s="57">
        <f>B2-(C2/D2)-(((C2^2)*(E2))/(2*(D2)^3))</f>
        <v>1.375</v>
      </c>
      <c r="G2" s="57">
        <f>ABS((F2-B2)/F2)*100</f>
        <v>27.27272727272727</v>
      </c>
      <c r="H2" s="57" t="str">
        <f t="shared" ref="H2:H5" si="0">IF(G2&lt;0.00001,"SI","NO")</f>
        <v>NO</v>
      </c>
    </row>
    <row r="3" spans="1:8" x14ac:dyDescent="0.25">
      <c r="A3" s="57">
        <v>1</v>
      </c>
      <c r="B3" s="57">
        <f>F2</f>
        <v>1.375</v>
      </c>
      <c r="C3" s="57">
        <f t="shared" ref="C3:C5" si="1">(B3)^2-2</f>
        <v>-0.109375</v>
      </c>
      <c r="D3" s="57">
        <f t="shared" ref="D3:D5" si="2">2*(B3)</f>
        <v>2.75</v>
      </c>
      <c r="E3" s="57">
        <f t="shared" ref="E3:E5" si="3">$B$8</f>
        <v>2</v>
      </c>
      <c r="F3" s="57">
        <f t="shared" ref="F3:F5" si="4">B3-(C3/D3)-(((C3^2)*(E3))/(2*(D3)^3))</f>
        <v>1.4141975018782871</v>
      </c>
      <c r="G3" s="57">
        <f t="shared" ref="G3:G5" si="5">ABS((F3-B3)/F3)*100</f>
        <v>2.7717134152921599</v>
      </c>
      <c r="H3" s="57" t="str">
        <f t="shared" si="0"/>
        <v>NO</v>
      </c>
    </row>
    <row r="4" spans="1:8" x14ac:dyDescent="0.25">
      <c r="A4" s="57">
        <v>2</v>
      </c>
      <c r="B4" s="57">
        <f t="shared" ref="B4:B5" si="6">F3</f>
        <v>1.4141975018782871</v>
      </c>
      <c r="C4" s="57">
        <f t="shared" si="1"/>
        <v>-4.5425681212130087E-5</v>
      </c>
      <c r="D4" s="57">
        <f t="shared" si="2"/>
        <v>2.8283950037565742</v>
      </c>
      <c r="E4" s="57">
        <f t="shared" si="3"/>
        <v>2</v>
      </c>
      <c r="F4" s="57">
        <f t="shared" si="4"/>
        <v>1.414213562373094</v>
      </c>
      <c r="G4" s="57">
        <f t="shared" si="5"/>
        <v>1.1356484787211055E-3</v>
      </c>
      <c r="H4" s="57" t="str">
        <f t="shared" si="0"/>
        <v>NO</v>
      </c>
    </row>
    <row r="5" spans="1:8" x14ac:dyDescent="0.25">
      <c r="A5" s="56">
        <v>3</v>
      </c>
      <c r="B5" s="56">
        <f t="shared" si="6"/>
        <v>1.414213562373094</v>
      </c>
      <c r="C5" s="56">
        <f t="shared" si="1"/>
        <v>-2.886579864025407E-15</v>
      </c>
      <c r="D5" s="56">
        <f t="shared" si="2"/>
        <v>2.8284271247461881</v>
      </c>
      <c r="E5" s="57">
        <f t="shared" si="3"/>
        <v>2</v>
      </c>
      <c r="F5" s="56">
        <f t="shared" si="4"/>
        <v>1.4142135623730951</v>
      </c>
      <c r="G5" s="56">
        <f t="shared" si="5"/>
        <v>7.8504622934188743E-14</v>
      </c>
      <c r="H5" s="56" t="str">
        <f t="shared" si="0"/>
        <v>SI</v>
      </c>
    </row>
    <row r="6" spans="1:8" ht="17.25" x14ac:dyDescent="0.25">
      <c r="A6" s="111" t="s">
        <v>60</v>
      </c>
      <c r="B6" s="111"/>
      <c r="C6" s="111"/>
      <c r="D6" s="111"/>
      <c r="E6" s="111"/>
      <c r="F6" s="111"/>
      <c r="G6" s="111"/>
      <c r="H6" s="111"/>
    </row>
    <row r="7" spans="1:8" x14ac:dyDescent="0.25">
      <c r="A7" s="59" t="s">
        <v>11</v>
      </c>
      <c r="B7" s="60" t="s">
        <v>42</v>
      </c>
      <c r="C7" s="60"/>
      <c r="D7" s="60"/>
      <c r="E7" s="59" t="s">
        <v>19</v>
      </c>
      <c r="F7" s="60" t="s">
        <v>61</v>
      </c>
      <c r="G7" s="60"/>
      <c r="H7" s="60"/>
    </row>
    <row r="8" spans="1:8" ht="15.75" thickBot="1" x14ac:dyDescent="0.3">
      <c r="A8" s="61" t="s">
        <v>49</v>
      </c>
      <c r="B8" s="61">
        <v>2</v>
      </c>
      <c r="C8" s="61"/>
      <c r="D8" s="61"/>
      <c r="E8" s="61"/>
      <c r="F8" s="61"/>
      <c r="G8" s="61"/>
      <c r="H8" s="61"/>
    </row>
  </sheetData>
  <mergeCells count="1">
    <mergeCell ref="A6:H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E6EB-312B-4A28-8C7F-9F88765979F6}">
  <dimension ref="A1:H8"/>
  <sheetViews>
    <sheetView zoomScale="175" zoomScaleNormal="175" workbookViewId="0">
      <selection activeCell="H3" sqref="H3"/>
    </sheetView>
  </sheetViews>
  <sheetFormatPr baseColWidth="10" defaultRowHeight="15" x14ac:dyDescent="0.25"/>
  <sheetData>
    <row r="1" spans="1:8" x14ac:dyDescent="0.25">
      <c r="A1" s="40" t="s">
        <v>1</v>
      </c>
      <c r="B1" s="40" t="s">
        <v>21</v>
      </c>
      <c r="C1" s="40" t="s">
        <v>32</v>
      </c>
      <c r="D1" s="40" t="s">
        <v>33</v>
      </c>
      <c r="E1" s="40" t="s">
        <v>40</v>
      </c>
      <c r="F1" s="40" t="s">
        <v>34</v>
      </c>
      <c r="G1" s="40" t="s">
        <v>9</v>
      </c>
      <c r="H1" s="40" t="s">
        <v>10</v>
      </c>
    </row>
    <row r="2" spans="1:8" x14ac:dyDescent="0.25">
      <c r="A2" s="41">
        <v>0</v>
      </c>
      <c r="B2" s="41">
        <v>1</v>
      </c>
      <c r="C2" s="41">
        <f>B2^2-2</f>
        <v>-1</v>
      </c>
      <c r="D2" s="41">
        <f>2*B2</f>
        <v>2</v>
      </c>
      <c r="E2" s="41">
        <f>$B$8</f>
        <v>2</v>
      </c>
      <c r="F2" s="41">
        <f>B2-(C2/(D2-(E2*C2)/(2*D2)))</f>
        <v>1.4</v>
      </c>
      <c r="G2" s="40">
        <f>ABS((F2-B2)/F2)*100</f>
        <v>28.571428571428566</v>
      </c>
      <c r="H2" s="41" t="str">
        <f>IF(G2&lt;0.00001,"SI","NO")</f>
        <v>NO</v>
      </c>
    </row>
    <row r="3" spans="1:8" x14ac:dyDescent="0.25">
      <c r="A3" s="40">
        <v>1</v>
      </c>
      <c r="B3" s="40">
        <f>F2</f>
        <v>1.4</v>
      </c>
      <c r="C3" s="40">
        <f>B3^2-2</f>
        <v>-4.0000000000000258E-2</v>
      </c>
      <c r="D3" s="40">
        <f>2*B3</f>
        <v>2.8</v>
      </c>
      <c r="E3" s="41">
        <f t="shared" ref="E3:E5" si="0">$B$8</f>
        <v>2</v>
      </c>
      <c r="F3" s="40">
        <f>B3-(C3/(D3-(E3*C3)/(2*D3)))</f>
        <v>1.4142131979695431</v>
      </c>
      <c r="G3" s="40">
        <f>ABS((F3-B3)/F3)*100</f>
        <v>1.0050251256281468</v>
      </c>
      <c r="H3" s="41" t="str">
        <f t="shared" ref="H3:H5" si="1">IF(G3&lt;0.00001,"SI","NO")</f>
        <v>NO</v>
      </c>
    </row>
    <row r="4" spans="1:8" x14ac:dyDescent="0.25">
      <c r="A4" s="41">
        <v>2</v>
      </c>
      <c r="B4" s="41">
        <f>F3</f>
        <v>1.4142131979695431</v>
      </c>
      <c r="C4" s="41">
        <f>B4^2-2</f>
        <v>-1.0306887576749801E-6</v>
      </c>
      <c r="D4" s="41">
        <f>2*B4</f>
        <v>2.8284263959390863</v>
      </c>
      <c r="E4" s="41">
        <f t="shared" si="0"/>
        <v>2</v>
      </c>
      <c r="F4" s="41">
        <f>B4-(C4/(D4-(E4*C4)/(2*D4)))</f>
        <v>1.4142135623730949</v>
      </c>
      <c r="G4" s="41">
        <f>ABS((F4-B4)/F4)*100</f>
        <v>2.576722225507049E-5</v>
      </c>
      <c r="H4" s="41" t="str">
        <f t="shared" si="1"/>
        <v>NO</v>
      </c>
    </row>
    <row r="5" spans="1:8" x14ac:dyDescent="0.25">
      <c r="A5" s="41">
        <v>3</v>
      </c>
      <c r="B5" s="41">
        <f>F4</f>
        <v>1.4142135623730949</v>
      </c>
      <c r="C5" s="41">
        <f>B5^2-2</f>
        <v>0</v>
      </c>
      <c r="D5" s="41">
        <f>2*B5</f>
        <v>2.8284271247461898</v>
      </c>
      <c r="E5" s="41">
        <f t="shared" si="0"/>
        <v>2</v>
      </c>
      <c r="F5" s="41">
        <f>B5-(C5/(D5-(E5*C5)/(2*D5)))</f>
        <v>1.4142135623730949</v>
      </c>
      <c r="G5" s="41">
        <f>ABS((F5-B5)/F5)*100</f>
        <v>0</v>
      </c>
      <c r="H5" s="41" t="str">
        <f t="shared" si="1"/>
        <v>SI</v>
      </c>
    </row>
    <row r="6" spans="1:8" ht="17.25" x14ac:dyDescent="0.25">
      <c r="A6" s="112" t="s">
        <v>47</v>
      </c>
      <c r="B6" s="112"/>
      <c r="C6" s="112"/>
      <c r="D6" s="112"/>
      <c r="E6" s="112"/>
      <c r="F6" s="112"/>
      <c r="G6" s="112"/>
      <c r="H6" s="112"/>
    </row>
    <row r="7" spans="1:8" x14ac:dyDescent="0.25">
      <c r="A7" s="42" t="s">
        <v>11</v>
      </c>
      <c r="B7" s="43" t="s">
        <v>42</v>
      </c>
      <c r="C7" s="43"/>
      <c r="D7" s="43"/>
      <c r="E7" s="42" t="s">
        <v>19</v>
      </c>
      <c r="F7" s="43" t="s">
        <v>48</v>
      </c>
      <c r="G7" s="43"/>
      <c r="H7" s="43"/>
    </row>
    <row r="8" spans="1:8" ht="15.75" thickBot="1" x14ac:dyDescent="0.3">
      <c r="A8" s="44" t="s">
        <v>49</v>
      </c>
      <c r="B8" s="44">
        <v>2</v>
      </c>
      <c r="C8" s="44"/>
      <c r="D8" s="44"/>
      <c r="E8" s="44"/>
      <c r="F8" s="44"/>
      <c r="G8" s="44"/>
      <c r="H8" s="44"/>
    </row>
  </sheetData>
  <mergeCells count="1">
    <mergeCell ref="A6:H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13D5-910B-4DE2-B2B3-0633C2920F4F}">
  <dimension ref="A1:H7"/>
  <sheetViews>
    <sheetView zoomScale="145" zoomScaleNormal="145" workbookViewId="0">
      <selection activeCell="H15" sqref="H15"/>
    </sheetView>
  </sheetViews>
  <sheetFormatPr baseColWidth="10" defaultRowHeight="15" x14ac:dyDescent="0.25"/>
  <sheetData>
    <row r="1" spans="1:8" x14ac:dyDescent="0.25">
      <c r="A1" s="28" t="s">
        <v>1</v>
      </c>
      <c r="B1" s="28" t="s">
        <v>21</v>
      </c>
      <c r="C1" s="28" t="s">
        <v>32</v>
      </c>
      <c r="D1" s="28" t="s">
        <v>33</v>
      </c>
      <c r="E1" s="28" t="s">
        <v>40</v>
      </c>
      <c r="F1" s="28" t="s">
        <v>34</v>
      </c>
      <c r="G1" s="28" t="s">
        <v>9</v>
      </c>
      <c r="H1" s="28" t="s">
        <v>10</v>
      </c>
    </row>
    <row r="2" spans="1:8" x14ac:dyDescent="0.25">
      <c r="A2" s="45">
        <v>0</v>
      </c>
      <c r="B2" s="45">
        <v>1</v>
      </c>
      <c r="C2" s="45">
        <f>B2^2-2</f>
        <v>-1</v>
      </c>
      <c r="D2" s="45">
        <f>2*B2</f>
        <v>2</v>
      </c>
      <c r="E2" s="45">
        <f>$B$7</f>
        <v>2</v>
      </c>
      <c r="F2" s="45">
        <f>B2-(2*(D2^2)-C2*E2)/(2*((D2^2)-C2*E2))*((C2)/(D2))</f>
        <v>1.4166666666666667</v>
      </c>
      <c r="G2" s="28">
        <f>ABS((F2-B2)/F2)*100</f>
        <v>29.411764705882355</v>
      </c>
      <c r="H2" s="28" t="str">
        <f>IF(G2&lt;0.00001,"SI","NO")</f>
        <v>NO</v>
      </c>
    </row>
    <row r="3" spans="1:8" x14ac:dyDescent="0.25">
      <c r="A3" s="28">
        <v>1</v>
      </c>
      <c r="B3" s="45">
        <f>F2</f>
        <v>1.4166666666666667</v>
      </c>
      <c r="C3" s="45">
        <f t="shared" ref="C3:C4" si="0">B3^2-2</f>
        <v>6.9444444444446418E-3</v>
      </c>
      <c r="D3" s="45">
        <f t="shared" ref="D3" si="1">2*B3</f>
        <v>2.8333333333333335</v>
      </c>
      <c r="E3" s="45">
        <f t="shared" ref="E3:E4" si="2">$B$7</f>
        <v>2</v>
      </c>
      <c r="F3" s="45">
        <f t="shared" ref="F3:F4" si="3">B3-(2*(D3^2)-C3*E3)/(2*((D3^2)-C3*E3))*((C3)/(D3))</f>
        <v>1.4142135623746899</v>
      </c>
      <c r="G3" s="28">
        <f t="shared" ref="G3" si="4">ABS((F3-B3)/F3)*100</f>
        <v>0.17346066798127135</v>
      </c>
      <c r="H3" s="28" t="str">
        <f t="shared" ref="H3:H4" si="5">IF(G3&lt;0.00001,"SI","NO")</f>
        <v>NO</v>
      </c>
    </row>
    <row r="4" spans="1:8" x14ac:dyDescent="0.25">
      <c r="A4" s="45">
        <v>2</v>
      </c>
      <c r="B4" s="45">
        <f>F3</f>
        <v>1.4142135623746899</v>
      </c>
      <c r="C4" s="45">
        <f t="shared" si="0"/>
        <v>4.510614104447086E-12</v>
      </c>
      <c r="D4" s="45">
        <f t="shared" ref="D4" si="6">2*B4</f>
        <v>2.8284271247493797</v>
      </c>
      <c r="E4" s="45">
        <f t="shared" si="2"/>
        <v>2</v>
      </c>
      <c r="F4" s="45">
        <f t="shared" si="3"/>
        <v>1.4142135623730951</v>
      </c>
      <c r="G4" s="28">
        <f t="shared" ref="G4" si="7">ABS((F4-B4)/F4)*100</f>
        <v>1.1276404038266872E-10</v>
      </c>
      <c r="H4" s="28" t="str">
        <f t="shared" si="5"/>
        <v>SI</v>
      </c>
    </row>
    <row r="5" spans="1:8" ht="17.25" x14ac:dyDescent="0.25">
      <c r="A5" s="113" t="s">
        <v>50</v>
      </c>
      <c r="B5" s="113"/>
      <c r="C5" s="113"/>
      <c r="D5" s="113"/>
      <c r="E5" s="113"/>
      <c r="F5" s="113"/>
      <c r="G5" s="113"/>
      <c r="H5" s="113"/>
    </row>
    <row r="6" spans="1:8" x14ac:dyDescent="0.25">
      <c r="A6" s="46" t="s">
        <v>11</v>
      </c>
      <c r="B6" s="26" t="s">
        <v>42</v>
      </c>
      <c r="C6" s="26"/>
      <c r="D6" s="26"/>
      <c r="E6" s="46"/>
      <c r="F6" s="46" t="s">
        <v>19</v>
      </c>
      <c r="G6" s="26" t="s">
        <v>59</v>
      </c>
      <c r="H6" s="26"/>
    </row>
    <row r="7" spans="1:8" ht="15.75" thickBot="1" x14ac:dyDescent="0.3">
      <c r="A7" s="47" t="s">
        <v>49</v>
      </c>
      <c r="B7" s="47">
        <v>2</v>
      </c>
      <c r="C7" s="47"/>
      <c r="D7" s="47"/>
      <c r="E7" s="47"/>
      <c r="F7" s="47"/>
      <c r="G7" s="47"/>
      <c r="H7" s="47"/>
    </row>
  </sheetData>
  <mergeCells count="1">
    <mergeCell ref="A5:H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E3F7-92D9-4796-80B0-AE3A82E3204B}">
  <dimension ref="A2:H8"/>
  <sheetViews>
    <sheetView topLeftCell="A2" workbookViewId="0">
      <selection activeCell="E5" sqref="E5"/>
    </sheetView>
  </sheetViews>
  <sheetFormatPr baseColWidth="10" defaultRowHeight="15" x14ac:dyDescent="0.25"/>
  <sheetData>
    <row r="2" spans="1:8" x14ac:dyDescent="0.25">
      <c r="A2" s="15" t="s">
        <v>1</v>
      </c>
      <c r="B2" s="15" t="s">
        <v>21</v>
      </c>
      <c r="C2" s="15" t="s">
        <v>32</v>
      </c>
      <c r="D2" s="15" t="s">
        <v>33</v>
      </c>
      <c r="E2" s="15" t="s">
        <v>40</v>
      </c>
      <c r="F2" s="15" t="s">
        <v>34</v>
      </c>
      <c r="G2" s="15" t="s">
        <v>9</v>
      </c>
      <c r="H2" s="15" t="s">
        <v>10</v>
      </c>
    </row>
    <row r="3" spans="1:8" x14ac:dyDescent="0.25">
      <c r="A3" s="36">
        <v>0</v>
      </c>
      <c r="B3" s="36">
        <v>1</v>
      </c>
      <c r="C3" s="36">
        <f>B3^2-2</f>
        <v>-1</v>
      </c>
      <c r="D3" s="36">
        <f>2*B3</f>
        <v>2</v>
      </c>
      <c r="E3" s="36">
        <v>2</v>
      </c>
      <c r="F3" s="36">
        <f>B3-(D3/((D3^2-C3*E3)^(1/2)))*(C3/D3)</f>
        <v>1.4082482904638631</v>
      </c>
      <c r="G3" s="15">
        <f>ABS((F3-B3)/F3)*100</f>
        <v>28.989794855663568</v>
      </c>
      <c r="H3" s="15" t="str">
        <f>IF(G3&lt;0.00001,"SI","NO")</f>
        <v>NO</v>
      </c>
    </row>
    <row r="4" spans="1:8" x14ac:dyDescent="0.25">
      <c r="A4" s="15">
        <v>1</v>
      </c>
      <c r="B4" s="15">
        <f>F3</f>
        <v>1.4082482904638631</v>
      </c>
      <c r="C4" s="15">
        <f>B4^2-2</f>
        <v>-1.6836752405607003E-2</v>
      </c>
      <c r="D4" s="15">
        <f>2*B4</f>
        <v>2.8164965809277263</v>
      </c>
      <c r="E4" s="15">
        <v>2</v>
      </c>
      <c r="F4" s="15">
        <f>B4-(D4/((D4^2-C4*E4)^(1/2)))*(C4/D4)</f>
        <v>1.4142135490500616</v>
      </c>
      <c r="G4" s="15">
        <f>ABS((F4-B4)/F4)*100</f>
        <v>0.42180748375698734</v>
      </c>
      <c r="H4" s="15" t="str">
        <f t="shared" ref="H4:H5" si="0">IF(G4&lt;0.00001,"SI","NO")</f>
        <v>NO</v>
      </c>
    </row>
    <row r="5" spans="1:8" x14ac:dyDescent="0.25">
      <c r="A5" s="36">
        <v>2</v>
      </c>
      <c r="B5" s="36">
        <f>F4</f>
        <v>1.4142135490500616</v>
      </c>
      <c r="C5" s="36">
        <f>B5^2-2</f>
        <v>-3.768322898167753E-8</v>
      </c>
      <c r="D5" s="36">
        <f>2*B5</f>
        <v>2.8284270981001232</v>
      </c>
      <c r="E5" s="36">
        <v>2</v>
      </c>
      <c r="F5" s="36">
        <f>B5-(D5/((D5^2-C5*E5)^(1/2)))*(C5/D5)</f>
        <v>1.4142135623730949</v>
      </c>
      <c r="G5" s="36">
        <f>ABS((F5-B5)/F5)*100</f>
        <v>9.4208072229700067E-7</v>
      </c>
      <c r="H5" s="15" t="str">
        <f t="shared" si="0"/>
        <v>SI</v>
      </c>
    </row>
    <row r="6" spans="1:8" ht="17.25" x14ac:dyDescent="0.25">
      <c r="A6" s="114" t="s">
        <v>45</v>
      </c>
      <c r="B6" s="114"/>
      <c r="C6" s="114"/>
      <c r="D6" s="114"/>
      <c r="E6" s="114"/>
      <c r="F6" s="114"/>
      <c r="G6" s="114"/>
      <c r="H6" s="114"/>
    </row>
    <row r="7" spans="1:8" x14ac:dyDescent="0.25">
      <c r="A7" s="37" t="s">
        <v>11</v>
      </c>
      <c r="B7" s="38" t="s">
        <v>42</v>
      </c>
      <c r="C7" s="38"/>
      <c r="D7" s="38"/>
      <c r="E7" s="37" t="s">
        <v>19</v>
      </c>
      <c r="F7" s="38" t="s">
        <v>46</v>
      </c>
      <c r="G7" s="38"/>
      <c r="H7" s="38"/>
    </row>
    <row r="8" spans="1:8" ht="15.75" thickBot="1" x14ac:dyDescent="0.3">
      <c r="A8" s="39"/>
      <c r="B8" s="39"/>
      <c r="C8" s="39"/>
      <c r="D8" s="39"/>
      <c r="E8" s="39"/>
      <c r="F8" s="39"/>
      <c r="G8" s="39"/>
      <c r="H8" s="39"/>
    </row>
  </sheetData>
  <mergeCells count="1">
    <mergeCell ref="A6:H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49A7-12A7-4F30-B5A2-B2CF5CFF9A99}">
  <dimension ref="A1:H11"/>
  <sheetViews>
    <sheetView workbookViewId="0">
      <selection activeCell="H7" sqref="H7"/>
    </sheetView>
  </sheetViews>
  <sheetFormatPr baseColWidth="10" defaultRowHeight="15" x14ac:dyDescent="0.25"/>
  <sheetData>
    <row r="1" spans="1:8" x14ac:dyDescent="0.25">
      <c r="A1" s="13" t="s">
        <v>1</v>
      </c>
      <c r="B1" s="13" t="s">
        <v>21</v>
      </c>
      <c r="C1" s="13" t="s">
        <v>32</v>
      </c>
      <c r="D1" s="13" t="s">
        <v>51</v>
      </c>
      <c r="E1" s="13" t="s">
        <v>56</v>
      </c>
      <c r="F1" s="13" t="s">
        <v>34</v>
      </c>
      <c r="G1" s="13" t="s">
        <v>9</v>
      </c>
      <c r="H1" s="13" t="s">
        <v>10</v>
      </c>
    </row>
    <row r="2" spans="1:8" x14ac:dyDescent="0.25">
      <c r="A2" s="14">
        <v>0</v>
      </c>
      <c r="B2" s="14">
        <v>1</v>
      </c>
      <c r="C2" s="14">
        <f>B2^2-2</f>
        <v>-1</v>
      </c>
      <c r="D2" s="14"/>
      <c r="E2" s="14"/>
      <c r="F2" s="14"/>
      <c r="G2" s="14"/>
      <c r="H2" s="14"/>
    </row>
    <row r="3" spans="1:8" x14ac:dyDescent="0.25">
      <c r="A3" s="13">
        <v>1</v>
      </c>
      <c r="B3" s="13">
        <v>2</v>
      </c>
      <c r="C3" s="13">
        <f>B3^2-2</f>
        <v>2</v>
      </c>
      <c r="D3" s="13">
        <f>B2</f>
        <v>1</v>
      </c>
      <c r="E3" s="13">
        <f>C2</f>
        <v>-1</v>
      </c>
      <c r="F3" s="13">
        <f>B3-(C3*(B3-D3)/(C3-E3))</f>
        <v>1.3333333333333335</v>
      </c>
      <c r="G3" s="14">
        <f t="shared" ref="G3:G8" si="0">IFERROR(ABS((F3-B3)/F3)*100,0)</f>
        <v>49.999999999999986</v>
      </c>
      <c r="H3" s="14" t="str">
        <f>IF(IFERROR(G3,0)&lt;0.00001,"SI","NO")</f>
        <v>NO</v>
      </c>
    </row>
    <row r="4" spans="1:8" x14ac:dyDescent="0.25">
      <c r="A4" s="14">
        <v>2</v>
      </c>
      <c r="B4" s="14">
        <f>IFERROR(F3,B3)</f>
        <v>1.3333333333333335</v>
      </c>
      <c r="C4" s="14">
        <f>IFERROR(B4^2-2,0)</f>
        <v>-0.22222222222222188</v>
      </c>
      <c r="D4" s="14">
        <f>IFERROR(B3,B3)</f>
        <v>2</v>
      </c>
      <c r="E4" s="14">
        <f>IFERROR(C3,0)</f>
        <v>2</v>
      </c>
      <c r="F4" s="14">
        <f>IFERROR(B4-(C4*(B4-D4)/(C4-E4)),B4)</f>
        <v>1.4000000000000001</v>
      </c>
      <c r="G4" s="14">
        <f t="shared" si="0"/>
        <v>4.7619047619047601</v>
      </c>
      <c r="H4" s="14" t="str">
        <f t="shared" ref="H4:H8" si="1">IF(IFERROR(G4,0)&lt;0.00001,"SI","NO")</f>
        <v>NO</v>
      </c>
    </row>
    <row r="5" spans="1:8" x14ac:dyDescent="0.25">
      <c r="A5" s="13">
        <v>3</v>
      </c>
      <c r="B5" s="13">
        <f>IFERROR(F4,B4)</f>
        <v>1.4000000000000001</v>
      </c>
      <c r="C5" s="13">
        <f>IFERROR(B5^2-2,0)</f>
        <v>-3.9999999999999591E-2</v>
      </c>
      <c r="D5" s="13">
        <f>IFERROR(B4,B4)</f>
        <v>1.3333333333333335</v>
      </c>
      <c r="E5" s="13">
        <f>IFERROR(C4,0)</f>
        <v>-0.22222222222222188</v>
      </c>
      <c r="F5" s="13">
        <f>IFERROR(B5-(C5*(B5-D5)/(C5-E5)),B5)</f>
        <v>1.4146341463414633</v>
      </c>
      <c r="G5" s="13">
        <f t="shared" si="0"/>
        <v>1.0344827586206748</v>
      </c>
      <c r="H5" s="14" t="str">
        <f t="shared" si="1"/>
        <v>NO</v>
      </c>
    </row>
    <row r="6" spans="1:8" x14ac:dyDescent="0.25">
      <c r="A6" s="14">
        <v>4</v>
      </c>
      <c r="B6" s="14">
        <f>IFERROR(F5,B5)</f>
        <v>1.4146341463414633</v>
      </c>
      <c r="C6" s="14">
        <f>IFERROR(B6^2-2,0)</f>
        <v>1.1897679952408424E-3</v>
      </c>
      <c r="D6" s="14">
        <f>IFERROR(B5,B5)</f>
        <v>1.4000000000000001</v>
      </c>
      <c r="E6" s="14">
        <f>IFERROR(C5,0)</f>
        <v>-3.9999999999999591E-2</v>
      </c>
      <c r="F6" s="14">
        <f>IFERROR(B6-(C6*(B6-D6)/(C6-E6)),B6)</f>
        <v>1.4142114384748701</v>
      </c>
      <c r="G6" s="14">
        <f t="shared" si="0"/>
        <v>2.9890004782391323E-2</v>
      </c>
      <c r="H6" s="14" t="str">
        <f t="shared" si="1"/>
        <v>NO</v>
      </c>
    </row>
    <row r="7" spans="1:8" x14ac:dyDescent="0.25">
      <c r="A7" s="13">
        <v>5</v>
      </c>
      <c r="B7" s="13">
        <f>IFERROR(F6,B6)</f>
        <v>1.4142114384748701</v>
      </c>
      <c r="C7" s="13">
        <f>IFERROR(B7^2-2,0)</f>
        <v>-6.0072868388605372E-6</v>
      </c>
      <c r="D7" s="13">
        <f>IFERROR(B6,B6)</f>
        <v>1.4146341463414633</v>
      </c>
      <c r="E7" s="13">
        <f>IFERROR(C6,0)</f>
        <v>1.1897679952408424E-3</v>
      </c>
      <c r="F7" s="13">
        <f>IFERROR(B7-(C7*(B7-D7)/(C7-E7)),B7)</f>
        <v>1.4142135620573204</v>
      </c>
      <c r="G7" s="13">
        <f t="shared" si="0"/>
        <v>1.5015995513728908E-4</v>
      </c>
      <c r="H7" s="14" t="str">
        <f t="shared" si="1"/>
        <v>NO</v>
      </c>
    </row>
    <row r="8" spans="1:8" x14ac:dyDescent="0.25">
      <c r="A8" s="14">
        <v>6</v>
      </c>
      <c r="B8" s="14">
        <f>IFERROR(F7,B7)</f>
        <v>1.4142135620573204</v>
      </c>
      <c r="C8" s="14">
        <f>IFERROR(B8^2-2,0)</f>
        <v>-8.9314555751229818E-10</v>
      </c>
      <c r="D8" s="14">
        <f>IFERROR(B7,B7)</f>
        <v>1.4142114384748701</v>
      </c>
      <c r="E8" s="14">
        <f>IFERROR(C7,0)</f>
        <v>-6.0072868388605372E-6</v>
      </c>
      <c r="F8" s="14">
        <f>IFERROR(B8-(C8*(B8-D8)/(C8-E8)),B8)</f>
        <v>1.4142135623730954</v>
      </c>
      <c r="G8" s="14">
        <f t="shared" si="0"/>
        <v>2.2328661677132043E-8</v>
      </c>
      <c r="H8" s="14" t="str">
        <f t="shared" si="1"/>
        <v>SI</v>
      </c>
    </row>
    <row r="9" spans="1:8" ht="17.25" x14ac:dyDescent="0.25">
      <c r="A9" s="115" t="s">
        <v>52</v>
      </c>
      <c r="B9" s="115"/>
      <c r="C9" s="115"/>
      <c r="D9" s="115"/>
      <c r="E9" s="115"/>
      <c r="F9" s="115"/>
      <c r="G9" s="115"/>
      <c r="H9" s="115"/>
    </row>
    <row r="10" spans="1:8" x14ac:dyDescent="0.25">
      <c r="A10" s="48" t="s">
        <v>11</v>
      </c>
      <c r="B10" s="17" t="s">
        <v>12</v>
      </c>
      <c r="C10" s="17"/>
      <c r="D10" s="48" t="s">
        <v>53</v>
      </c>
      <c r="E10" s="17" t="s">
        <v>54</v>
      </c>
      <c r="F10" s="48" t="s">
        <v>19</v>
      </c>
      <c r="G10" s="17" t="s">
        <v>55</v>
      </c>
      <c r="H10" s="17"/>
    </row>
    <row r="11" spans="1:8" ht="15.75" thickBot="1" x14ac:dyDescent="0.3">
      <c r="A11" s="49"/>
      <c r="B11" s="49"/>
      <c r="C11" s="49"/>
      <c r="D11" s="49"/>
      <c r="E11" s="49"/>
      <c r="F11" s="49"/>
      <c r="G11" s="49"/>
      <c r="H11" s="49"/>
    </row>
  </sheetData>
  <mergeCells count="1">
    <mergeCell ref="A9:H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7A02-B362-454A-AABE-443FF0A7D758}">
  <dimension ref="A1:H22"/>
  <sheetViews>
    <sheetView tabSelected="1" workbookViewId="0">
      <selection activeCell="M14" sqref="M14"/>
    </sheetView>
  </sheetViews>
  <sheetFormatPr baseColWidth="10" defaultRowHeight="15" x14ac:dyDescent="0.25"/>
  <sheetData>
    <row r="1" spans="1:7" x14ac:dyDescent="0.25">
      <c r="A1" s="50" t="s">
        <v>1</v>
      </c>
      <c r="B1" s="50" t="s">
        <v>21</v>
      </c>
      <c r="C1" s="50" t="s">
        <v>32</v>
      </c>
      <c r="D1" s="1" t="s">
        <v>71</v>
      </c>
      <c r="E1" s="50" t="s">
        <v>34</v>
      </c>
      <c r="F1" s="50" t="s">
        <v>9</v>
      </c>
      <c r="G1" s="50" t="s">
        <v>10</v>
      </c>
    </row>
    <row r="2" spans="1:7" x14ac:dyDescent="0.25">
      <c r="A2" s="51">
        <v>0</v>
      </c>
      <c r="B2" s="51">
        <v>1</v>
      </c>
      <c r="C2" s="51">
        <f>B2^2-2</f>
        <v>-1</v>
      </c>
      <c r="D2" s="51">
        <v>2</v>
      </c>
      <c r="E2" s="51">
        <f>B2-(C2/D2)</f>
        <v>1.5</v>
      </c>
      <c r="F2" s="51">
        <f>ABS((E2-B2)/E2)*100</f>
        <v>33.333333333333329</v>
      </c>
      <c r="G2" s="50" t="str">
        <f>IF(F2&lt;0.00001,"SI","NO")</f>
        <v>NO</v>
      </c>
    </row>
    <row r="3" spans="1:7" x14ac:dyDescent="0.25">
      <c r="A3" s="50">
        <v>1</v>
      </c>
      <c r="B3" s="50">
        <f>E2</f>
        <v>1.5</v>
      </c>
      <c r="C3" s="50">
        <f>B3^2-2</f>
        <v>0.25</v>
      </c>
      <c r="D3" s="51">
        <v>2</v>
      </c>
      <c r="E3" s="55">
        <f>B3-(C3/D3)</f>
        <v>1.375</v>
      </c>
      <c r="F3" s="50">
        <f>ABS((E3-B3)/E3)*100</f>
        <v>9.0909090909090917</v>
      </c>
      <c r="G3" s="50" t="str">
        <f t="shared" ref="G3:G19" si="0">IF(F3&lt;0.00001,"SI","NO")</f>
        <v>NO</v>
      </c>
    </row>
    <row r="4" spans="1:7" x14ac:dyDescent="0.25">
      <c r="A4" s="51">
        <v>2</v>
      </c>
      <c r="B4" s="50">
        <f t="shared" ref="B4:B19" si="1">E3</f>
        <v>1.375</v>
      </c>
      <c r="C4" s="50">
        <f t="shared" ref="C4:C19" si="2">B4^2-2</f>
        <v>-0.109375</v>
      </c>
      <c r="D4" s="51">
        <v>2</v>
      </c>
      <c r="E4" s="55">
        <f t="shared" ref="E4:E19" si="3">B4-(C4/D4)</f>
        <v>1.4296875</v>
      </c>
      <c r="F4" s="50">
        <f t="shared" ref="F4:F19" si="4">ABS((E4-B4)/E4)*100</f>
        <v>3.8251366120218582</v>
      </c>
      <c r="G4" s="50" t="str">
        <f t="shared" si="0"/>
        <v>NO</v>
      </c>
    </row>
    <row r="5" spans="1:7" x14ac:dyDescent="0.25">
      <c r="A5" s="50">
        <v>3</v>
      </c>
      <c r="B5" s="50">
        <f t="shared" si="1"/>
        <v>1.4296875</v>
      </c>
      <c r="C5" s="50">
        <f t="shared" si="2"/>
        <v>4.400634765625E-2</v>
      </c>
      <c r="D5" s="51">
        <v>2</v>
      </c>
      <c r="E5" s="55">
        <f t="shared" si="3"/>
        <v>1.407684326171875</v>
      </c>
      <c r="F5" s="50">
        <f t="shared" si="4"/>
        <v>1.5630758557894511</v>
      </c>
      <c r="G5" s="50" t="str">
        <f t="shared" si="0"/>
        <v>NO</v>
      </c>
    </row>
    <row r="6" spans="1:7" x14ac:dyDescent="0.25">
      <c r="A6" s="51">
        <v>4</v>
      </c>
      <c r="B6" s="50">
        <f t="shared" si="1"/>
        <v>1.407684326171875</v>
      </c>
      <c r="C6" s="50">
        <f t="shared" si="2"/>
        <v>-1.8424837850034237E-2</v>
      </c>
      <c r="D6" s="51">
        <v>2</v>
      </c>
      <c r="E6" s="55">
        <f t="shared" si="3"/>
        <v>1.4168967450968921</v>
      </c>
      <c r="F6" s="50">
        <f t="shared" si="4"/>
        <v>0.6501827996215167</v>
      </c>
      <c r="G6" s="50" t="str">
        <f t="shared" si="0"/>
        <v>NO</v>
      </c>
    </row>
    <row r="7" spans="1:7" x14ac:dyDescent="0.25">
      <c r="A7" s="50">
        <v>5</v>
      </c>
      <c r="B7" s="50">
        <f t="shared" si="1"/>
        <v>1.4168967450968921</v>
      </c>
      <c r="C7" s="50">
        <f t="shared" si="2"/>
        <v>7.596386266167432E-3</v>
      </c>
      <c r="D7" s="51">
        <v>2</v>
      </c>
      <c r="E7" s="55">
        <f t="shared" si="3"/>
        <v>1.4130985519638084</v>
      </c>
      <c r="F7" s="50">
        <f t="shared" si="4"/>
        <v>0.2687847303930288</v>
      </c>
      <c r="G7" s="50" t="str">
        <f t="shared" si="0"/>
        <v>NO</v>
      </c>
    </row>
    <row r="8" spans="1:7" x14ac:dyDescent="0.25">
      <c r="A8" s="51">
        <v>6</v>
      </c>
      <c r="B8" s="50">
        <f t="shared" si="1"/>
        <v>1.4130985519638084</v>
      </c>
      <c r="C8" s="50">
        <f t="shared" si="2"/>
        <v>-3.1524824377879845E-3</v>
      </c>
      <c r="D8" s="51">
        <v>2</v>
      </c>
      <c r="E8" s="55">
        <f t="shared" si="3"/>
        <v>1.4146747931827024</v>
      </c>
      <c r="F8" s="50">
        <f t="shared" si="4"/>
        <v>0.11142074676737553</v>
      </c>
      <c r="G8" s="50" t="str">
        <f t="shared" si="0"/>
        <v>NO</v>
      </c>
    </row>
    <row r="9" spans="1:7" x14ac:dyDescent="0.25">
      <c r="A9" s="50">
        <v>7</v>
      </c>
      <c r="B9" s="50">
        <f t="shared" si="1"/>
        <v>1.4146747931827024</v>
      </c>
      <c r="C9" s="50">
        <f t="shared" si="2"/>
        <v>1.3047704665218873E-3</v>
      </c>
      <c r="D9" s="51">
        <v>2</v>
      </c>
      <c r="E9" s="55">
        <f t="shared" si="3"/>
        <v>1.4140224079494415</v>
      </c>
      <c r="F9" s="50">
        <f t="shared" si="4"/>
        <v>4.613683839756165E-2</v>
      </c>
      <c r="G9" s="50" t="str">
        <f t="shared" si="0"/>
        <v>NO</v>
      </c>
    </row>
    <row r="10" spans="1:7" x14ac:dyDescent="0.25">
      <c r="A10" s="51">
        <v>8</v>
      </c>
      <c r="B10" s="50">
        <f t="shared" si="1"/>
        <v>1.4140224079494415</v>
      </c>
      <c r="C10" s="50">
        <f t="shared" si="2"/>
        <v>-5.4062981686331391E-4</v>
      </c>
      <c r="D10" s="51">
        <v>2</v>
      </c>
      <c r="E10" s="55">
        <f t="shared" si="3"/>
        <v>1.4142927228578732</v>
      </c>
      <c r="F10" s="50">
        <f t="shared" si="4"/>
        <v>1.9113080627717605E-2</v>
      </c>
      <c r="G10" s="50" t="str">
        <f t="shared" si="0"/>
        <v>NO</v>
      </c>
    </row>
    <row r="11" spans="1:7" x14ac:dyDescent="0.25">
      <c r="A11" s="50">
        <v>9</v>
      </c>
      <c r="B11" s="50">
        <f t="shared" si="1"/>
        <v>1.4142927228578732</v>
      </c>
      <c r="C11" s="50">
        <f t="shared" si="2"/>
        <v>2.2390592873700044E-4</v>
      </c>
      <c r="D11" s="51">
        <v>2</v>
      </c>
      <c r="E11" s="55">
        <f t="shared" si="3"/>
        <v>1.4141807698935047</v>
      </c>
      <c r="F11" s="50">
        <f t="shared" si="4"/>
        <v>7.9164535929116663E-3</v>
      </c>
      <c r="G11" s="50" t="str">
        <f t="shared" si="0"/>
        <v>NO</v>
      </c>
    </row>
    <row r="12" spans="1:7" x14ac:dyDescent="0.25">
      <c r="A12" s="51">
        <v>10</v>
      </c>
      <c r="B12" s="50">
        <f t="shared" si="1"/>
        <v>1.4141807698935047</v>
      </c>
      <c r="C12" s="50">
        <f t="shared" si="2"/>
        <v>-9.2750063414248629E-5</v>
      </c>
      <c r="D12" s="51">
        <v>2</v>
      </c>
      <c r="E12" s="55">
        <f t="shared" si="3"/>
        <v>1.4142271449252117</v>
      </c>
      <c r="F12" s="50">
        <f t="shared" si="4"/>
        <v>3.2791784455152521E-3</v>
      </c>
      <c r="G12" s="50" t="str">
        <f t="shared" si="0"/>
        <v>NO</v>
      </c>
    </row>
    <row r="13" spans="1:7" x14ac:dyDescent="0.25">
      <c r="A13" s="50">
        <v>11</v>
      </c>
      <c r="B13" s="50">
        <f t="shared" si="1"/>
        <v>1.4142271449252117</v>
      </c>
      <c r="C13" s="50">
        <f t="shared" si="2"/>
        <v>3.8417443315896804E-5</v>
      </c>
      <c r="D13" s="51">
        <v>2</v>
      </c>
      <c r="E13" s="55">
        <f t="shared" si="3"/>
        <v>1.4142079362035538</v>
      </c>
      <c r="F13" s="50">
        <f t="shared" si="4"/>
        <v>1.3582671378237548E-3</v>
      </c>
      <c r="G13" s="50" t="str">
        <f t="shared" si="0"/>
        <v>NO</v>
      </c>
    </row>
    <row r="14" spans="1:7" x14ac:dyDescent="0.25">
      <c r="A14" s="51">
        <v>12</v>
      </c>
      <c r="B14" s="50">
        <f t="shared" si="1"/>
        <v>1.4142079362035538</v>
      </c>
      <c r="C14" s="50">
        <f t="shared" si="2"/>
        <v>-1.5913178885051948E-5</v>
      </c>
      <c r="D14" s="51">
        <v>2</v>
      </c>
      <c r="E14" s="55">
        <f t="shared" si="3"/>
        <v>1.4142158927929964</v>
      </c>
      <c r="F14" s="50">
        <f t="shared" si="4"/>
        <v>5.6261490789239984E-4</v>
      </c>
      <c r="G14" s="50" t="str">
        <f t="shared" si="0"/>
        <v>NO</v>
      </c>
    </row>
    <row r="15" spans="1:7" x14ac:dyDescent="0.25">
      <c r="A15" s="50">
        <v>13</v>
      </c>
      <c r="B15" s="50">
        <f t="shared" si="1"/>
        <v>1.4142158927929964</v>
      </c>
      <c r="C15" s="50">
        <f t="shared" si="2"/>
        <v>6.5914282920687128E-6</v>
      </c>
      <c r="D15" s="51">
        <v>2</v>
      </c>
      <c r="E15" s="55">
        <f t="shared" si="3"/>
        <v>1.4142125970788504</v>
      </c>
      <c r="F15" s="50">
        <f t="shared" si="4"/>
        <v>2.3304234121813595E-4</v>
      </c>
      <c r="G15" s="50" t="str">
        <f t="shared" si="0"/>
        <v>NO</v>
      </c>
    </row>
    <row r="16" spans="1:7" x14ac:dyDescent="0.25">
      <c r="A16" s="51">
        <v>14</v>
      </c>
      <c r="B16" s="50">
        <f t="shared" si="1"/>
        <v>1.4142125970788504</v>
      </c>
      <c r="C16" s="50">
        <f t="shared" si="2"/>
        <v>-2.7302634930670422E-6</v>
      </c>
      <c r="D16" s="51">
        <v>2</v>
      </c>
      <c r="E16" s="55">
        <f t="shared" si="3"/>
        <v>1.4142139622105969</v>
      </c>
      <c r="F16" s="50">
        <f t="shared" si="4"/>
        <v>9.6529364227153155E-5</v>
      </c>
      <c r="G16" s="50" t="str">
        <f t="shared" si="0"/>
        <v>NO</v>
      </c>
    </row>
    <row r="17" spans="1:8" x14ac:dyDescent="0.25">
      <c r="A17" s="50">
        <v>15</v>
      </c>
      <c r="B17" s="50">
        <f t="shared" si="1"/>
        <v>1.4142139622105969</v>
      </c>
      <c r="C17" s="50">
        <f t="shared" si="2"/>
        <v>1.1309113956414762E-6</v>
      </c>
      <c r="D17" s="51">
        <v>2</v>
      </c>
      <c r="E17" s="55">
        <f t="shared" si="3"/>
        <v>1.4142133967548991</v>
      </c>
      <c r="F17" s="50">
        <f t="shared" si="4"/>
        <v>3.9983760521449697E-5</v>
      </c>
      <c r="G17" s="50" t="str">
        <f t="shared" si="0"/>
        <v>NO</v>
      </c>
    </row>
    <row r="18" spans="1:8" x14ac:dyDescent="0.25">
      <c r="A18" s="51">
        <v>16</v>
      </c>
      <c r="B18" s="50">
        <f t="shared" si="1"/>
        <v>1.4142133967548991</v>
      </c>
      <c r="C18" s="50">
        <f t="shared" si="2"/>
        <v>-4.6843897028026049E-7</v>
      </c>
      <c r="D18" s="51">
        <v>2</v>
      </c>
      <c r="E18" s="55">
        <f t="shared" si="3"/>
        <v>1.4142136309743842</v>
      </c>
      <c r="F18" s="50">
        <f t="shared" si="4"/>
        <v>1.6561817819472895E-5</v>
      </c>
      <c r="G18" s="50" t="str">
        <f t="shared" si="0"/>
        <v>NO</v>
      </c>
    </row>
    <row r="19" spans="1:8" x14ac:dyDescent="0.25">
      <c r="A19" s="50">
        <v>17</v>
      </c>
      <c r="B19" s="50">
        <f t="shared" si="1"/>
        <v>1.4142136309743842</v>
      </c>
      <c r="C19" s="50">
        <f t="shared" si="2"/>
        <v>1.9403375173254744E-7</v>
      </c>
      <c r="D19" s="51">
        <v>2</v>
      </c>
      <c r="E19" s="55">
        <f t="shared" si="3"/>
        <v>1.4142135339575084</v>
      </c>
      <c r="F19" s="50">
        <f t="shared" si="4"/>
        <v>6.8601292192971408E-6</v>
      </c>
      <c r="G19" s="50" t="str">
        <f t="shared" si="0"/>
        <v>SI</v>
      </c>
    </row>
    <row r="20" spans="1:8" ht="17.25" x14ac:dyDescent="0.25">
      <c r="A20" s="116" t="s">
        <v>57</v>
      </c>
      <c r="B20" s="116"/>
      <c r="C20" s="116"/>
      <c r="D20" s="116"/>
      <c r="E20" s="116"/>
      <c r="F20" s="116"/>
      <c r="G20" s="116"/>
      <c r="H20" s="116"/>
    </row>
    <row r="21" spans="1:8" x14ac:dyDescent="0.25">
      <c r="A21" s="52" t="s">
        <v>11</v>
      </c>
      <c r="B21" s="4" t="s">
        <v>72</v>
      </c>
      <c r="C21" s="53"/>
      <c r="D21" s="53"/>
      <c r="E21" s="52" t="s">
        <v>19</v>
      </c>
      <c r="F21" s="53" t="s">
        <v>58</v>
      </c>
      <c r="G21" s="53"/>
      <c r="H21" s="53"/>
    </row>
    <row r="22" spans="1:8" ht="15.75" thickBot="1" x14ac:dyDescent="0.3">
      <c r="A22" s="54"/>
      <c r="B22" s="54"/>
      <c r="C22" s="54"/>
      <c r="D22" s="54"/>
      <c r="E22" s="54"/>
      <c r="F22" s="54"/>
      <c r="G22" s="54"/>
      <c r="H22" s="54"/>
    </row>
  </sheetData>
  <mergeCells count="1"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Bisección</vt:lpstr>
      <vt:lpstr>Regula Falsi</vt:lpstr>
      <vt:lpstr>Punto Fijo</vt:lpstr>
      <vt:lpstr>Aitken</vt:lpstr>
      <vt:lpstr>Steffensen</vt:lpstr>
      <vt:lpstr>Newton-Raphson</vt:lpstr>
      <vt:lpstr>Newton Modificado</vt:lpstr>
      <vt:lpstr>Newton 2do Orden</vt:lpstr>
      <vt:lpstr>Chebyshev</vt:lpstr>
      <vt:lpstr>Halley</vt:lpstr>
      <vt:lpstr>Super Halley</vt:lpstr>
      <vt:lpstr>Ostrowsky</vt:lpstr>
      <vt:lpstr>Secante</vt:lpstr>
      <vt:lpstr>Von Mises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 torre</dc:creator>
  <cp:lastModifiedBy>pepe torre</cp:lastModifiedBy>
  <dcterms:created xsi:type="dcterms:W3CDTF">2026-06-03T15:35:31Z</dcterms:created>
  <dcterms:modified xsi:type="dcterms:W3CDTF">2026-06-04T22:43:31Z</dcterms:modified>
</cp:coreProperties>
</file>