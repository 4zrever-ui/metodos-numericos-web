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tken" sheetId="1" state="visible" r:id="rId3"/>
    <sheet name="Steffens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<sst xmlns="http://schemas.openxmlformats.org/spreadsheetml/2006/main" count="40" uniqueCount="19">
  <si>
    <t xml:space="preserve">k</t>
  </si>
  <si>
    <t xml:space="preserve">p̂ₖ (Aitken)</t>
  </si>
  <si>
    <t xml:space="preserve">Error %</t>
  </si>
  <si>
    <t xml:space="preserve">Convergencia</t>
  </si>
  <si>
    <t xml:space="preserve">PUNTO FIJO  —  base de Aitken</t>
  </si>
  <si>
    <t xml:space="preserve">xₖ</t>
  </si>
  <si>
    <t xml:space="preserve">g(xₖ)</t>
  </si>
  <si>
    <t xml:space="preserve">Conv</t>
  </si>
  <si>
    <t xml:space="preserve">MÉTODO DE AITKEN (Δ²)  —  f(x) = x² − 2</t>
  </si>
  <si>
    <t xml:space="preserve">Ecuación:</t>
  </si>
  <si>
    <t xml:space="preserve">f(x) = x² − 2</t>
  </si>
  <si>
    <t xml:space="preserve">g(x):</t>
  </si>
  <si>
    <t xml:space="preserve">p̂ₖ  (Steffensen)</t>
  </si>
  <si>
    <t xml:space="preserve">MÉTODO DE STEFFENSEN  —  f(x) = x² − 2</t>
  </si>
  <si>
    <t xml:space="preserve">Base: Aitken (Δ² sobre Punto Fijo)</t>
  </si>
  <si>
    <t xml:space="preserve">x̂ₖ  (Aitken Δ²)</t>
  </si>
  <si>
    <t xml:space="preserve">Base: Punto Fijo</t>
  </si>
  <si>
    <t xml:space="preserve">MÉTODO DE PUNTO FIJO  —  f(x) = x² − 2</t>
  </si>
  <si>
    <t xml:space="preserve">g(x) = (x + 2)/(x + 1)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</si>
</sst>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A1A2E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47F57"/>
      <name val="Calibri"/>
      <family val="0"/>
      <charset val="1"/>
    </font>
    <font>
      <sz val="11"/>
      <color rgb="FF6C3483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1F2EB"/>
        <bgColor rgb="FFD3EAFD"/>
      </patternFill>
    </fill>
    <fill>
      <patternFill patternType="solid">
        <fgColor rgb="FF6C3483"/>
        <bgColor rgb="FF993366"/>
      </patternFill>
    </fill>
    <fill>
      <patternFill patternType="solid">
        <fgColor rgb="FFE8F8F5"/>
        <bgColor rgb="FFF4EBFD"/>
      </patternFill>
    </fill>
    <fill>
      <patternFill patternType="solid">
        <fgColor rgb="FFE8DAEF"/>
        <bgColor rgb="FFF4EBFD"/>
      </patternFill>
    </fill>
    <fill>
      <patternFill patternType="solid">
        <fgColor rgb="FFF4EBFD"/>
        <bgColor rgb="FFE8F8F5"/>
      </patternFill>
    </fill>
    <fill>
      <patternFill patternType="solid">
        <fgColor rgb="FF147F57"/>
        <bgColor rgb="FF008080"/>
      </patternFill>
    </fill>
    <fill>
      <patternFill patternType="solid">
        <fgColor rgb="FFD3EAFD"/>
        <bgColor rgb="FFD1F2E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7F57"/>
      <rgbColor rgb="FFC0C0C0"/>
      <rgbColor rgb="FF808080"/>
      <rgbColor rgb="FF9999FF"/>
      <rgbColor rgb="FF6C3483"/>
      <rgbColor rgb="FFE8F8F5"/>
      <rgbColor rgb="FFD1F2EB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3EAFD"/>
      <rgbColor rgb="FFF4EBF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9" min="5" style="0" width="5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3" min="13" style="0" width="14"/>
  </cols>
  <sheetData>
    <row r="1" customFormat="false" ht="17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I1" s="2" t="s">
        <v>4</v>
      </c>
      <c r="J1" s="2"/>
      <c r="K1" s="2"/>
      <c r="L1" s="2"/>
      <c r="M1" s="2"/>
    </row>
    <row r="2" customFormat="false" ht="15" hidden="false" customHeight="false" outlineLevel="0" collapsed="false">
      <c r="A2" s="3" t="n">
        <v>0</v>
      </c>
      <c r="B2" s="3" t="n">
        <f aca="false">K3-((K4-K3)^2)/(K5-2*K4+K3)</f>
        <v>1.41428571428571</v>
      </c>
      <c r="C2" s="3"/>
      <c r="D2" s="3"/>
      <c r="I2" s="4" t="s">
        <v>0</v>
      </c>
      <c r="J2" s="4" t="s">
        <v>5</v>
      </c>
      <c r="K2" s="4" t="s">
        <v>6</v>
      </c>
      <c r="L2" s="4" t="s">
        <v>2</v>
      </c>
      <c r="M2" s="4" t="s">
        <v>7</v>
      </c>
    </row>
    <row r="3" customFormat="false" ht="15" hidden="false" customHeight="false" outlineLevel="0" collapsed="false">
      <c r="A3" s="5" t="n">
        <v>1</v>
      </c>
      <c r="B3" s="5" t="n">
        <f aca="false">K4-((K5-K4)^2)/(K6-2*K5+K4)</f>
        <v>1.41421568627451</v>
      </c>
      <c r="C3" s="5" t="n">
        <f aca="false">ABS((B3-B2)/B3)*100</f>
        <v>0.00495172072295121</v>
      </c>
      <c r="D3" s="5" t="str">
        <f aca="false">IF(C3&lt;0.00001,"SI","NO")</f>
        <v>NO</v>
      </c>
      <c r="I3" s="6" t="n">
        <v>0</v>
      </c>
      <c r="J3" s="6" t="n">
        <v>1</v>
      </c>
      <c r="K3" s="6" t="n">
        <f aca="false">(1/(1+J3))*(2+J3)</f>
        <v>1.5</v>
      </c>
      <c r="L3" s="6"/>
      <c r="M3" s="6"/>
    </row>
    <row r="4" customFormat="false" ht="15" hidden="false" customHeight="false" outlineLevel="0" collapsed="false">
      <c r="A4" s="3" t="n">
        <v>2</v>
      </c>
      <c r="B4" s="3" t="n">
        <f aca="false">K5-((K6-K5)^2)/(K7-2*K6+K5)</f>
        <v>1.41421362489487</v>
      </c>
      <c r="C4" s="3" t="n">
        <f aca="false">ABS((B4-B3)/B4)*100</f>
        <v>0.000145761545767035</v>
      </c>
      <c r="D4" s="3" t="str">
        <f aca="false">IF(C4&lt;0.00001,"SI","NO")</f>
        <v>NO</v>
      </c>
      <c r="I4" s="6" t="n">
        <v>1</v>
      </c>
      <c r="J4" s="6" t="n">
        <f aca="false">K3</f>
        <v>1.5</v>
      </c>
      <c r="K4" s="6" t="n">
        <f aca="false">(1/(1+J4))*(2+J4)</f>
        <v>1.4</v>
      </c>
      <c r="L4" s="6" t="n">
        <f aca="false">ABS((K4-J4)/K4)*100</f>
        <v>7.14285714285713</v>
      </c>
      <c r="M4" s="6" t="str">
        <f aca="false">IF(L4&lt;0.00001,"SI","NO")</f>
        <v>NO</v>
      </c>
    </row>
    <row r="5" customFormat="false" ht="15" hidden="false" customHeight="false" outlineLevel="0" collapsed="false">
      <c r="A5" s="5" t="n">
        <v>3</v>
      </c>
      <c r="B5" s="5" t="n">
        <f aca="false">K6-((K7-K6)^2)/(K8-2*K7+K6)</f>
        <v>1.41421356421356</v>
      </c>
      <c r="C5" s="5" t="n">
        <f aca="false">ABS((B5-B4)/B5)*100</f>
        <v>4.29081625798726E-006</v>
      </c>
      <c r="D5" s="5" t="str">
        <f aca="false">IF(C5&lt;0.00001,"SI","NO")</f>
        <v>SI</v>
      </c>
      <c r="I5" s="6" t="n">
        <v>2</v>
      </c>
      <c r="J5" s="6" t="n">
        <f aca="false">K4</f>
        <v>1.4</v>
      </c>
      <c r="K5" s="6" t="n">
        <f aca="false">(1/(1+J5))*(2+J5)</f>
        <v>1.41666666666667</v>
      </c>
      <c r="L5" s="6" t="n">
        <f aca="false">ABS((K5-J5)/K5)*100</f>
        <v>1.17647058823529</v>
      </c>
      <c r="M5" s="6" t="str">
        <f aca="false">IF(L5&lt;0.00001,"SI","NO")</f>
        <v>NO</v>
      </c>
    </row>
    <row r="6" customFormat="false" ht="15" hidden="false" customHeight="false" outlineLevel="0" collapsed="false">
      <c r="A6" s="3" t="n">
        <v>4</v>
      </c>
      <c r="B6" s="3" t="n">
        <f aca="false">K7-((K8-K7)^2)/(K9-2*K8+K7)</f>
        <v>1.41421356242727</v>
      </c>
      <c r="C6" s="3" t="n">
        <f aca="false">ABS((B6-B5)/B6)*100</f>
        <v>1.26309840354954E-007</v>
      </c>
      <c r="D6" s="3" t="str">
        <f aca="false">IF(C6&lt;0.00001,"SI","NO")</f>
        <v>SI</v>
      </c>
      <c r="I6" s="7" t="n">
        <v>3</v>
      </c>
      <c r="J6" s="7" t="n">
        <f aca="false">K5</f>
        <v>1.41666666666667</v>
      </c>
      <c r="K6" s="7" t="n">
        <f aca="false">(1/(1+J6))*(2+J6)</f>
        <v>1.41379310344828</v>
      </c>
      <c r="L6" s="7" t="n">
        <f aca="false">ABS((K6-J6)/K6)*100</f>
        <v>0.203252032520335</v>
      </c>
      <c r="M6" s="7" t="str">
        <f aca="false">IF(L6&lt;0.00001,"SI","NO")</f>
        <v>NO</v>
      </c>
    </row>
    <row r="7" customFormat="false" ht="15" hidden="false" customHeight="false" outlineLevel="0" collapsed="false">
      <c r="A7" s="5" t="n">
        <v>5</v>
      </c>
      <c r="B7" s="5" t="n">
        <f aca="false">K8-((K9-K8)^2)/(K10-2*K9+K8)</f>
        <v>1.41421356237469</v>
      </c>
      <c r="C7" s="5" t="n">
        <f aca="false">ABS((B7-B6)/B7)*100</f>
        <v>3.71821445602779E-009</v>
      </c>
      <c r="D7" s="5" t="str">
        <f aca="false">IF(C7&lt;0.00001,"SI","NO")</f>
        <v>SI</v>
      </c>
      <c r="I7" s="7" t="n">
        <v>4</v>
      </c>
      <c r="J7" s="7" t="n">
        <f aca="false">K6</f>
        <v>1.41379310344828</v>
      </c>
      <c r="K7" s="7" t="n">
        <f aca="false">(1/(1+J7))*(2+J7)</f>
        <v>1.41428571428571</v>
      </c>
      <c r="L7" s="7" t="n">
        <f aca="false">ABS((K7-J7)/K7)*100</f>
        <v>0.0348310693138381</v>
      </c>
      <c r="M7" s="7" t="str">
        <f aca="false">IF(L7&lt;0.00001,"SI","NO")</f>
        <v>NO</v>
      </c>
    </row>
    <row r="8" customFormat="false" ht="17.25" hidden="false" customHeight="true" outlineLevel="0" collapsed="false">
      <c r="A8" s="8" t="s">
        <v>8</v>
      </c>
      <c r="B8" s="8"/>
      <c r="C8" s="8"/>
      <c r="D8" s="8"/>
      <c r="I8" s="7" t="n">
        <v>5</v>
      </c>
      <c r="J8" s="7" t="n">
        <f aca="false">K7</f>
        <v>1.41428571428571</v>
      </c>
      <c r="K8" s="7" t="n">
        <f aca="false">(1/(1+J8))*(2+J8)</f>
        <v>1.41420118343195</v>
      </c>
      <c r="L8" s="7" t="n">
        <f aca="false">ABS((K8-J8)/K8)*100</f>
        <v>0.00597728631202761</v>
      </c>
      <c r="M8" s="7" t="str">
        <f aca="false">IF(L8&lt;0.00001,"SI","NO")</f>
        <v>NO</v>
      </c>
    </row>
    <row r="9" customFormat="false" ht="15" hidden="false" customHeight="true" outlineLevel="0" collapsed="false">
      <c r="A9" s="9" t="s">
        <v>9</v>
      </c>
      <c r="B9" s="10" t="s">
        <v>10</v>
      </c>
      <c r="D9" s="9" t="s">
        <v>11</v>
      </c>
      <c r="I9" s="6" t="n">
        <v>6</v>
      </c>
      <c r="J9" s="6" t="n">
        <f aca="false">K8</f>
        <v>1.41420118343195</v>
      </c>
      <c r="K9" s="6" t="n">
        <f aca="false">(1/(1+J9))*(2+J9)</f>
        <v>1.41421568627451</v>
      </c>
      <c r="L9" s="6" t="n">
        <f aca="false">ABS((K9-J9)/K9)*100</f>
        <v>0.00102550429174874</v>
      </c>
      <c r="M9" s="6" t="str">
        <f aca="false">IF(L9&lt;0.00001,"SI","NO")</f>
        <v>NO</v>
      </c>
    </row>
    <row r="10" customFormat="false" ht="15" hidden="false" customHeight="false" outlineLevel="0" collapsed="false">
      <c r="I10" s="6" t="n">
        <v>7</v>
      </c>
      <c r="J10" s="6" t="n">
        <f aca="false">K9</f>
        <v>1.41421568627451</v>
      </c>
      <c r="K10" s="6" t="n">
        <f aca="false">(1/(1+J10))*(2+J10)</f>
        <v>1.41421319796954</v>
      </c>
      <c r="L10" s="6" t="n">
        <f aca="false">ABS((K10-J10)/K10)*100</f>
        <v>0.00017594977690166</v>
      </c>
      <c r="M10" s="6" t="str">
        <f aca="false">IF(L10&lt;0.00001,"SI","NO")</f>
        <v>NO</v>
      </c>
    </row>
    <row r="11" customFormat="false" ht="15" hidden="false" customHeight="false" outlineLevel="0" collapsed="false">
      <c r="I11" s="6" t="n">
        <v>8</v>
      </c>
      <c r="J11" s="6" t="n">
        <f aca="false">K10</f>
        <v>1.41421319796954</v>
      </c>
      <c r="K11" s="6" t="n">
        <f aca="false">(1/(1+J11))*(2+J11)</f>
        <v>1.41421362489487</v>
      </c>
      <c r="L11" s="6" t="n">
        <f aca="false">ABS((K11-J11)/K11)*100</f>
        <v>3.01881780028917E-005</v>
      </c>
      <c r="M11" s="6" t="str">
        <f aca="false">IF(L11&lt;0.00001,"SI","NO")</f>
        <v>NO</v>
      </c>
    </row>
    <row r="12" customFormat="false" ht="15" hidden="false" customHeight="false" outlineLevel="0" collapsed="false">
      <c r="I12" s="7" t="n">
        <v>9</v>
      </c>
      <c r="J12" s="7" t="n">
        <f aca="false">K11</f>
        <v>1.41421362489487</v>
      </c>
      <c r="K12" s="7" t="n">
        <f aca="false">(1/(1+J12))*(2+J12)</f>
        <v>1.41421355164605</v>
      </c>
      <c r="L12" s="7" t="n">
        <f aca="false">ABS((K12-J12)/K12)*100</f>
        <v>5.17947340457668E-006</v>
      </c>
      <c r="M12" s="7" t="str">
        <f aca="false">IF(L12&lt;0.00001,"SI","NO")</f>
        <v>SI</v>
      </c>
    </row>
  </sheetData>
  <mergeCells count="2">
    <mergeCell ref="I1:M1"/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9" min="9" style="0" width="5"/>
    <col collapsed="false" customWidth="true" hidden="false" outlineLevel="0" max="11" min="10" style="0" width="22"/>
    <col collapsed="false" customWidth="true" hidden="false" outlineLevel="0" max="12" min="12" style="0" width="12"/>
    <col collapsed="false" customWidth="true" hidden="false" outlineLevel="0" max="13" min="13" style="0" width="14"/>
  </cols>
  <sheetData>
    <row r="1" customFormat="false" ht="15" hidden="false" customHeight="false" outlineLevel="0" collapsed="false">
      <c r="A1" s="1" t="s">
        <v>0</v>
      </c>
      <c r="B1" s="1" t="s">
        <v>12</v>
      </c>
      <c r="C1" s="1" t="s">
        <v>2</v>
      </c>
      <c r="D1" s="1" t="s">
        <v>3</v>
      </c>
    </row>
    <row r="2" customFormat="false" ht="15" hidden="false" customHeight="false" outlineLevel="0" collapsed="false">
      <c r="A2" s="11" t="n">
        <v>0</v>
      </c>
      <c r="B2" s="11" t="n">
        <f aca="false">J7-((J8-J7)^2)/(J9-2*J8+J7)</f>
        <v>1.41421356237469</v>
      </c>
      <c r="C2" s="11"/>
      <c r="D2" s="11"/>
    </row>
    <row r="3" customFormat="false" ht="15" hidden="false" customHeight="false" outlineLevel="0" collapsed="false">
      <c r="A3" s="5" t="n">
        <v>1</v>
      </c>
      <c r="B3" s="5" t="n">
        <f aca="false">J8-((J9-J8)^2)/(J10-2*J9+J8)</f>
        <v>1.4142135623731</v>
      </c>
      <c r="C3" s="5" t="n">
        <f aca="false">ABS((B3-B2)/B3)*100</f>
        <v>1.12685535759734E-010</v>
      </c>
      <c r="D3" s="5" t="str">
        <f aca="false">IF(C3&lt;0.00001,"SI","NO")</f>
        <v>SI</v>
      </c>
    </row>
    <row r="4" customFormat="false" ht="17.25" hidden="false" customHeight="true" outlineLevel="0" collapsed="false">
      <c r="A4" s="8" t="s">
        <v>13</v>
      </c>
      <c r="B4" s="8"/>
      <c r="C4" s="8"/>
      <c r="D4" s="8"/>
    </row>
    <row r="5" customFormat="false" ht="15" hidden="false" customHeight="false" outlineLevel="0" collapsed="false">
      <c r="A5" s="9" t="s">
        <v>9</v>
      </c>
      <c r="B5" s="10" t="s">
        <v>10</v>
      </c>
      <c r="D5" s="9" t="s">
        <v>14</v>
      </c>
    </row>
    <row r="6" customFormat="false" ht="15" hidden="false" customHeight="false" outlineLevel="0" collapsed="false">
      <c r="I6" s="1" t="s">
        <v>0</v>
      </c>
      <c r="J6" s="1" t="s">
        <v>15</v>
      </c>
      <c r="K6" s="1" t="s">
        <v>2</v>
      </c>
      <c r="L6" s="1" t="s">
        <v>7</v>
      </c>
    </row>
    <row r="7" customFormat="false" ht="15" hidden="false" customHeight="false" outlineLevel="0" collapsed="false">
      <c r="I7" s="3" t="n">
        <v>0</v>
      </c>
      <c r="J7" s="3" t="n">
        <f aca="false">K19-((K20-K19)^2)/(K21-2*K20+K19)</f>
        <v>1.41428571428571</v>
      </c>
      <c r="K7" s="3"/>
      <c r="L7" s="3"/>
    </row>
    <row r="8" customFormat="false" ht="15" hidden="false" customHeight="false" outlineLevel="0" collapsed="false">
      <c r="I8" s="5" t="n">
        <v>1</v>
      </c>
      <c r="J8" s="5" t="n">
        <f aca="false">K20-((K21-K20)^2)/(K22-2*K21+K20)</f>
        <v>1.41421568627451</v>
      </c>
      <c r="K8" s="5" t="n">
        <f aca="false">ABS((J8-J7)/J8)*100</f>
        <v>0.00495172072295121</v>
      </c>
      <c r="L8" s="5" t="str">
        <f aca="false">IF(K8&lt;0.00001,"SI","NO")</f>
        <v>NO</v>
      </c>
    </row>
    <row r="9" customFormat="false" ht="15" hidden="false" customHeight="false" outlineLevel="0" collapsed="false">
      <c r="I9" s="3" t="n">
        <v>2</v>
      </c>
      <c r="J9" s="3" t="n">
        <f aca="false">K21-((K22-K21)^2)/(K23-2*K22+K21)</f>
        <v>1.41421362489487</v>
      </c>
      <c r="K9" s="3" t="n">
        <f aca="false">ABS((J9-J8)/J9)*100</f>
        <v>0.000145761545767035</v>
      </c>
      <c r="L9" s="3" t="str">
        <f aca="false">IF(K9&lt;0.00001,"SI","NO")</f>
        <v>NO</v>
      </c>
    </row>
    <row r="10" customFormat="false" ht="15" hidden="false" customHeight="false" outlineLevel="0" collapsed="false">
      <c r="I10" s="5" t="n">
        <v>3</v>
      </c>
      <c r="J10" s="5" t="n">
        <f aca="false">K22-((K23-K22)^2)/(K24-2*K23+K22)</f>
        <v>1.41421356421356</v>
      </c>
      <c r="K10" s="5" t="n">
        <f aca="false">ABS((J10-J9)/J10)*100</f>
        <v>4.29081625798726E-006</v>
      </c>
      <c r="L10" s="5" t="str">
        <f aca="false">IF(K10&lt;0.00001,"SI","NO")</f>
        <v>SI</v>
      </c>
    </row>
    <row r="12" customFormat="false" ht="17.25" hidden="false" customHeight="true" outlineLevel="0" collapsed="false">
      <c r="I12" s="8" t="s">
        <v>8</v>
      </c>
      <c r="J12" s="8"/>
      <c r="K12" s="8"/>
      <c r="L12" s="8"/>
    </row>
    <row r="13" customFormat="false" ht="15" hidden="false" customHeight="false" outlineLevel="0" collapsed="false">
      <c r="I13" s="9" t="s">
        <v>9</v>
      </c>
      <c r="J13" s="10" t="s">
        <v>10</v>
      </c>
      <c r="L13" s="9" t="s">
        <v>16</v>
      </c>
    </row>
    <row r="16" customFormat="false" ht="17.25" hidden="false" customHeight="true" outlineLevel="0" collapsed="false">
      <c r="I16" s="2" t="s">
        <v>17</v>
      </c>
      <c r="J16" s="2"/>
      <c r="K16" s="2"/>
      <c r="L16" s="2"/>
      <c r="M16" s="2"/>
    </row>
    <row r="17" customFormat="false" ht="15" hidden="false" customHeight="false" outlineLevel="0" collapsed="false">
      <c r="I17" s="12" t="s">
        <v>9</v>
      </c>
      <c r="J17" s="10" t="s">
        <v>10</v>
      </c>
      <c r="L17" s="12" t="s">
        <v>11</v>
      </c>
      <c r="M17" s="10" t="s">
        <v>18</v>
      </c>
    </row>
    <row r="18" customFormat="false" ht="15" hidden="false" customHeight="false" outlineLevel="0" collapsed="false">
      <c r="I18" s="4" t="s">
        <v>0</v>
      </c>
      <c r="J18" s="4" t="s">
        <v>5</v>
      </c>
      <c r="K18" s="4" t="s">
        <v>6</v>
      </c>
      <c r="L18" s="4" t="s">
        <v>2</v>
      </c>
      <c r="M18" s="4" t="s">
        <v>3</v>
      </c>
    </row>
    <row r="19" customFormat="false" ht="15" hidden="false" customHeight="false" outlineLevel="0" collapsed="false">
      <c r="I19" s="7" t="n">
        <v>0</v>
      </c>
      <c r="J19" s="7" t="n">
        <v>1</v>
      </c>
      <c r="K19" s="7" t="n">
        <f aca="false">(1/(1+J19))*(2+J19)</f>
        <v>1.5</v>
      </c>
      <c r="L19" s="7"/>
      <c r="M19" s="7"/>
    </row>
    <row r="20" customFormat="false" ht="15" hidden="false" customHeight="false" outlineLevel="0" collapsed="false">
      <c r="I20" s="6" t="n">
        <v>1</v>
      </c>
      <c r="J20" s="6" t="n">
        <f aca="false">K19</f>
        <v>1.5</v>
      </c>
      <c r="K20" s="6" t="n">
        <f aca="false">(1/(1+J20))*(2+J20)</f>
        <v>1.4</v>
      </c>
      <c r="L20" s="6" t="n">
        <f aca="false">ABS((K20-J20)/K20)*100</f>
        <v>7.14285714285713</v>
      </c>
      <c r="M20" s="6" t="str">
        <f aca="false">IF(L20&lt;0.00001,"SI","NO")</f>
        <v>NO</v>
      </c>
    </row>
    <row r="21" customFormat="false" ht="15" hidden="false" customHeight="false" outlineLevel="0" collapsed="false">
      <c r="I21" s="7" t="n">
        <v>2</v>
      </c>
      <c r="J21" s="7" t="n">
        <f aca="false">K20</f>
        <v>1.4</v>
      </c>
      <c r="K21" s="7" t="n">
        <f aca="false">(1/(1+J21))*(2+J21)</f>
        <v>1.41666666666667</v>
      </c>
      <c r="L21" s="7" t="n">
        <f aca="false">ABS((K21-J21)/K21)*100</f>
        <v>1.17647058823529</v>
      </c>
      <c r="M21" s="7" t="str">
        <f aca="false">IF(L21&lt;0.00001,"SI","NO")</f>
        <v>NO</v>
      </c>
    </row>
    <row r="22" customFormat="false" ht="15" hidden="false" customHeight="false" outlineLevel="0" collapsed="false">
      <c r="I22" s="6" t="n">
        <v>3</v>
      </c>
      <c r="J22" s="6" t="n">
        <f aca="false">K21</f>
        <v>1.41666666666667</v>
      </c>
      <c r="K22" s="6" t="n">
        <f aca="false">(1/(1+J22))*(2+J22)</f>
        <v>1.41379310344828</v>
      </c>
      <c r="L22" s="6" t="n">
        <f aca="false">ABS((K22-J22)/K22)*100</f>
        <v>0.203252032520335</v>
      </c>
      <c r="M22" s="6" t="str">
        <f aca="false">IF(L22&lt;0.00001,"SI","NO")</f>
        <v>NO</v>
      </c>
    </row>
    <row r="23" customFormat="false" ht="15" hidden="false" customHeight="false" outlineLevel="0" collapsed="false">
      <c r="I23" s="7" t="n">
        <v>4</v>
      </c>
      <c r="J23" s="7" t="n">
        <f aca="false">K22</f>
        <v>1.41379310344828</v>
      </c>
      <c r="K23" s="7" t="n">
        <f aca="false">(1/(1+J23))*(2+J23)</f>
        <v>1.41428571428571</v>
      </c>
      <c r="L23" s="7" t="n">
        <f aca="false">ABS((K23-J23)/K23)*100</f>
        <v>0.0348310693138381</v>
      </c>
      <c r="M23" s="7" t="str">
        <f aca="false">IF(L23&lt;0.00001,"SI","NO")</f>
        <v>NO</v>
      </c>
    </row>
    <row r="24" customFormat="false" ht="15" hidden="false" customHeight="false" outlineLevel="0" collapsed="false">
      <c r="I24" s="6" t="n">
        <v>5</v>
      </c>
      <c r="J24" s="6" t="n">
        <f aca="false">K23</f>
        <v>1.41428571428571</v>
      </c>
      <c r="K24" s="6" t="n">
        <f aca="false">(1/(1+J24))*(2+J24)</f>
        <v>1.41420118343195</v>
      </c>
      <c r="L24" s="6" t="n">
        <f aca="false">ABS((K24-J24)/K24)*100</f>
        <v>0.00597728631202761</v>
      </c>
      <c r="M24" s="6" t="str">
        <f aca="false">IF(L24&lt;0.00001,"SI","NO")</f>
        <v>NO</v>
      </c>
    </row>
    <row r="25" customFormat="false" ht="15" hidden="false" customHeight="false" outlineLevel="0" collapsed="false">
      <c r="I25" s="7" t="n">
        <v>6</v>
      </c>
      <c r="J25" s="7" t="n">
        <f aca="false">K24</f>
        <v>1.41420118343195</v>
      </c>
      <c r="K25" s="7" t="n">
        <f aca="false">(1/(1+J25))*(2+J25)</f>
        <v>1.41421568627451</v>
      </c>
      <c r="L25" s="7" t="n">
        <f aca="false">ABS((K25-J25)/K25)*100</f>
        <v>0.00102550429174874</v>
      </c>
      <c r="M25" s="7" t="str">
        <f aca="false">IF(L25&lt;0.00001,"SI","NO")</f>
        <v>NO</v>
      </c>
    </row>
    <row r="26" customFormat="false" ht="15" hidden="false" customHeight="false" outlineLevel="0" collapsed="false">
      <c r="I26" s="6" t="n">
        <v>7</v>
      </c>
      <c r="J26" s="6" t="n">
        <f aca="false">K25</f>
        <v>1.41421568627451</v>
      </c>
      <c r="K26" s="6" t="n">
        <f aca="false">(1/(1+J26))*(2+J26)</f>
        <v>1.41421319796954</v>
      </c>
      <c r="L26" s="6" t="n">
        <f aca="false">ABS((K26-J26)/K26)*100</f>
        <v>0.00017594977690166</v>
      </c>
      <c r="M26" s="6" t="str">
        <f aca="false">IF(L26&lt;0.00001,"SI","NO")</f>
        <v>NO</v>
      </c>
    </row>
    <row r="27" customFormat="false" ht="15" hidden="false" customHeight="false" outlineLevel="0" collapsed="false">
      <c r="I27" s="7" t="n">
        <v>8</v>
      </c>
      <c r="J27" s="7" t="n">
        <f aca="false">K26</f>
        <v>1.41421319796954</v>
      </c>
      <c r="K27" s="7" t="n">
        <f aca="false">(1/(1+J27))*(2+J27)</f>
        <v>1.41421362489487</v>
      </c>
      <c r="L27" s="7" t="n">
        <f aca="false">ABS((K27-J27)/K27)*100</f>
        <v>3.01881780028917E-005</v>
      </c>
      <c r="M27" s="7" t="str">
        <f aca="false">IF(L27&lt;0.00001,"SI","NO")</f>
        <v>NO</v>
      </c>
    </row>
    <row r="28" customFormat="false" ht="15" hidden="false" customHeight="false" outlineLevel="0" collapsed="false">
      <c r="I28" s="6" t="n">
        <v>9</v>
      </c>
      <c r="J28" s="6" t="n">
        <f aca="false">K27</f>
        <v>1.41421362489487</v>
      </c>
      <c r="K28" s="6" t="n">
        <f aca="false">(1/(1+J28))*(2+J28)</f>
        <v>1.41421355164605</v>
      </c>
      <c r="L28" s="6" t="n">
        <f aca="false">ABS((K28-J28)/K28)*100</f>
        <v>5.17947340457668E-006</v>
      </c>
      <c r="M28" s="6" t="str">
        <f aca="false">IF(L28&lt;0.00001,"SI","NO")</f>
        <v>SI</v>
      </c>
    </row>
  </sheetData>
  <mergeCells count="3">
    <mergeCell ref="A4:D4"/>
    <mergeCell ref="I12:L12"/>
    <mergeCell ref="I16:M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2026-06-05T07:03:28Z</dcterms:created>
  <dc:creator>openpyxl</dc:creator>
  <dc:description/>
  <dc:language>en-US</dc:language>
  <cp:lastModifiedBy/>
  <dcterms:modified xsi:type="dcterms:W3CDTF">2026-06-05T07:03:28Z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