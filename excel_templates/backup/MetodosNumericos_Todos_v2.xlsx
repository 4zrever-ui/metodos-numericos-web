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sección" sheetId="1" state="visible" r:id="rId1"/>
    <sheet xmlns:r="http://schemas.openxmlformats.org/officeDocument/2006/relationships" name="Regula Falsi" sheetId="2" state="visible" r:id="rId2"/>
    <sheet xmlns:r="http://schemas.openxmlformats.org/officeDocument/2006/relationships" name="Punto Fijo" sheetId="3" state="visible" r:id="rId3"/>
    <sheet xmlns:r="http://schemas.openxmlformats.org/officeDocument/2006/relationships" name="Aitken" sheetId="4" state="visible" r:id="rId4"/>
    <sheet xmlns:r="http://schemas.openxmlformats.org/officeDocument/2006/relationships" name="Steffensen" sheetId="5" state="visible" r:id="rId5"/>
    <sheet xmlns:r="http://schemas.openxmlformats.org/officeDocument/2006/relationships" name="Newton-Raphson" sheetId="6" state="visible" r:id="rId6"/>
    <sheet xmlns:r="http://schemas.openxmlformats.org/officeDocument/2006/relationships" name="Newton Modificado" sheetId="7" state="visible" r:id="rId7"/>
    <sheet xmlns:r="http://schemas.openxmlformats.org/officeDocument/2006/relationships" name="Newton 2do Orden" sheetId="8" state="visible" r:id="rId8"/>
    <sheet xmlns:r="http://schemas.openxmlformats.org/officeDocument/2006/relationships" name="Chebyshev" sheetId="9" state="visible" r:id="rId9"/>
    <sheet xmlns:r="http://schemas.openxmlformats.org/officeDocument/2006/relationships" name="Halley" sheetId="10" state="visible" r:id="rId10"/>
    <sheet xmlns:r="http://schemas.openxmlformats.org/officeDocument/2006/relationships" name="Super Halley" sheetId="11" state="visible" r:id="rId11"/>
    <sheet xmlns:r="http://schemas.openxmlformats.org/officeDocument/2006/relationships" name="Ostrowsky" sheetId="12" state="visible" r:id="rId12"/>
    <sheet xmlns:r="http://schemas.openxmlformats.org/officeDocument/2006/relationships" name="Secante" sheetId="13" state="visible" r:id="rId13"/>
    <sheet xmlns:r="http://schemas.openxmlformats.org/officeDocument/2006/relationships" name="Von Mi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olor rgb="001A1A2E"/>
      <sz val="11"/>
    </font>
    <font>
      <name val="Calibri"/>
      <b val="1"/>
      <color rgb="00FFFFFF"/>
      <sz val="11"/>
    </font>
    <font>
      <b val="1"/>
      <color rgb="00FFFFFF"/>
    </font>
  </fonts>
  <fills count="31">
    <fill>
      <patternFill/>
    </fill>
    <fill>
      <patternFill patternType="gray125"/>
    </fill>
    <fill>
      <patternFill patternType="solid">
        <fgColor rgb="00D6EAF8"/>
      </patternFill>
    </fill>
    <fill>
      <patternFill patternType="solid">
        <fgColor rgb="00EBF5FB"/>
      </patternFill>
    </fill>
    <fill>
      <patternFill patternType="solid">
        <fgColor rgb="001A5276"/>
      </patternFill>
    </fill>
    <fill>
      <patternFill patternType="solid">
        <fgColor rgb="00D5F5E3"/>
      </patternFill>
    </fill>
    <fill>
      <patternFill patternType="solid">
        <fgColor rgb="00EAFAF1"/>
      </patternFill>
    </fill>
    <fill>
      <patternFill patternType="solid">
        <fgColor rgb="00147F57"/>
      </patternFill>
    </fill>
    <fill>
      <patternFill patternType="solid">
        <fgColor rgb="00E8DAEF"/>
      </patternFill>
    </fill>
    <fill>
      <patternFill patternType="solid">
        <fgColor rgb="00F4EBFD"/>
      </patternFill>
    </fill>
    <fill>
      <patternFill patternType="solid">
        <fgColor rgb="006C3483"/>
      </patternFill>
    </fill>
    <fill>
      <patternFill patternType="solid">
        <fgColor rgb="00D1F2EB"/>
      </patternFill>
    </fill>
    <fill>
      <patternFill patternType="solid">
        <fgColor rgb="00E8F8F5"/>
      </patternFill>
    </fill>
    <fill>
      <patternFill patternType="solid">
        <fgColor rgb="00D3EAFD"/>
      </patternFill>
    </fill>
    <fill>
      <patternFill patternType="solid">
        <fgColor rgb="00D6DBFF"/>
      </patternFill>
    </fill>
    <fill>
      <patternFill patternType="solid">
        <fgColor rgb="00EEF0FF"/>
      </patternFill>
    </fill>
    <fill>
      <patternFill patternType="solid">
        <fgColor rgb="001F3A93"/>
      </patternFill>
    </fill>
    <fill>
      <patternFill patternType="solid">
        <fgColor rgb="00E74C3C"/>
      </patternFill>
    </fill>
    <fill>
      <patternFill patternType="solid">
        <fgColor rgb="00FADBD8"/>
      </patternFill>
    </fill>
    <fill>
      <patternFill patternType="solid">
        <fgColor rgb="00FDEDEC"/>
      </patternFill>
    </fill>
    <fill>
      <patternFill patternType="solid">
        <fgColor rgb="00922B21"/>
      </patternFill>
    </fill>
    <fill>
      <patternFill patternType="solid">
        <fgColor rgb="000D553B"/>
      </patternFill>
    </fill>
    <fill>
      <patternFill patternType="solid">
        <fgColor rgb="00D2E4F8"/>
      </patternFill>
    </fill>
    <fill>
      <patternFill patternType="solid">
        <fgColor rgb="00174969"/>
      </patternFill>
    </fill>
    <fill>
      <patternFill patternType="solid">
        <fgColor rgb="00E8F5D6"/>
      </patternFill>
    </fill>
    <fill>
      <patternFill patternType="solid">
        <fgColor rgb="00F0FAE8"/>
      </patternFill>
    </fill>
    <fill>
      <patternFill patternType="solid">
        <fgColor rgb="004D6A1F"/>
      </patternFill>
    </fill>
    <fill>
      <patternFill patternType="solid">
        <fgColor rgb="00FEF5F5"/>
      </patternFill>
    </fill>
    <fill>
      <patternFill patternType="solid">
        <fgColor rgb="007B241C"/>
      </patternFill>
    </fill>
    <fill>
      <patternFill patternType="solid">
        <fgColor rgb="00F5EEF8"/>
      </patternFill>
    </fill>
    <fill>
      <patternFill patternType="solid">
        <fgColor rgb="004A235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pivotButton="0" quotePrefix="0" xfId="0"/>
    <xf numFmtId="0" fontId="1" fillId="3" borderId="1" pivotButton="0" quotePrefix="0" xfId="0"/>
    <xf numFmtId="0" fontId="2" fillId="4" borderId="1" applyAlignment="1" pivotButton="0" quotePrefix="0" xfId="0">
      <alignment horizontal="center" vertical="center"/>
    </xf>
    <xf numFmtId="0" fontId="1" fillId="0" borderId="1" pivotButton="0" quotePrefix="0" xfId="0"/>
    <xf numFmtId="0" fontId="1" fillId="5" borderId="1" pivotButton="0" quotePrefix="0" xfId="0"/>
    <xf numFmtId="0" fontId="1" fillId="6" borderId="1" pivotButton="0" quotePrefix="0" xfId="0"/>
    <xf numFmtId="0" fontId="2" fillId="7" borderId="1" applyAlignment="1" pivotButton="0" quotePrefix="0" xfId="0">
      <alignment horizontal="center" vertical="center"/>
    </xf>
    <xf numFmtId="0" fontId="1" fillId="8" borderId="1" pivotButton="0" quotePrefix="0" xfId="0"/>
    <xf numFmtId="0" fontId="1" fillId="9" borderId="1" pivotButton="0" quotePrefix="0" xfId="0"/>
    <xf numFmtId="0" fontId="2" fillId="10" borderId="1" applyAlignment="1" pivotButton="0" quotePrefix="0" xfId="0">
      <alignment horizontal="center" vertical="center"/>
    </xf>
    <xf numFmtId="0" fontId="1" fillId="11" borderId="1" pivotButton="0" quotePrefix="0" xfId="0"/>
    <xf numFmtId="0" fontId="1" fillId="12" borderId="1" pivotButton="0" quotePrefix="0" xfId="0"/>
    <xf numFmtId="0" fontId="3" fillId="7" borderId="1" pivotButton="0" quotePrefix="0" xfId="0"/>
    <xf numFmtId="0" fontId="3" fillId="7" borderId="0" pivotButton="0" quotePrefix="0" xfId="0"/>
    <xf numFmtId="0" fontId="1" fillId="13" borderId="1" pivotButton="0" quotePrefix="0" xfId="0"/>
    <xf numFmtId="0" fontId="1" fillId="14" borderId="1" pivotButton="0" quotePrefix="0" xfId="0"/>
    <xf numFmtId="0" fontId="1" fillId="15" borderId="1" pivotButton="0" quotePrefix="0" xfId="0"/>
    <xf numFmtId="0" fontId="2" fillId="16" borderId="1" applyAlignment="1" pivotButton="0" quotePrefix="0" xfId="0">
      <alignment horizontal="center" vertical="center"/>
    </xf>
    <xf numFmtId="0" fontId="1" fillId="17" borderId="1" pivotButton="0" quotePrefix="0" xfId="0"/>
    <xf numFmtId="0" fontId="1" fillId="18" borderId="1" pivotButton="0" quotePrefix="0" xfId="0"/>
    <xf numFmtId="0" fontId="1" fillId="19" borderId="1" pivotButton="0" quotePrefix="0" xfId="0"/>
    <xf numFmtId="0" fontId="2" fillId="20" borderId="1" applyAlignment="1" pivotButton="0" quotePrefix="0" xfId="0">
      <alignment horizontal="center" vertical="center"/>
    </xf>
    <xf numFmtId="0" fontId="2" fillId="21" borderId="1" applyAlignment="1" pivotButton="0" quotePrefix="0" xfId="0">
      <alignment horizontal="center" vertical="center"/>
    </xf>
    <xf numFmtId="0" fontId="1" fillId="22" borderId="1" pivotButton="0" quotePrefix="0" xfId="0"/>
    <xf numFmtId="0" fontId="2" fillId="23" borderId="1" applyAlignment="1" pivotButton="0" quotePrefix="0" xfId="0">
      <alignment horizontal="center" vertical="center"/>
    </xf>
    <xf numFmtId="0" fontId="1" fillId="24" borderId="1" pivotButton="0" quotePrefix="0" xfId="0"/>
    <xf numFmtId="0" fontId="1" fillId="25" borderId="1" pivotButton="0" quotePrefix="0" xfId="0"/>
    <xf numFmtId="0" fontId="2" fillId="26" borderId="1" applyAlignment="1" pivotButton="0" quotePrefix="0" xfId="0">
      <alignment horizontal="center" vertical="center"/>
    </xf>
    <xf numFmtId="0" fontId="1" fillId="27" borderId="1" pivotButton="0" quotePrefix="0" xfId="0"/>
    <xf numFmtId="0" fontId="2" fillId="28" borderId="1" applyAlignment="1" pivotButton="0" quotePrefix="0" xfId="0">
      <alignment horizontal="center" vertical="center"/>
    </xf>
    <xf numFmtId="0" fontId="1" fillId="29" borderId="1" pivotButton="0" quotePrefix="0" xfId="0"/>
    <xf numFmtId="0" fontId="2" fillId="3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aₖ</t>
        </is>
      </c>
      <c r="C1" s="1" t="inlineStr">
        <is>
          <t>cₖ = (a+b)/2</t>
        </is>
      </c>
      <c r="D1" s="1" t="inlineStr">
        <is>
          <t>bₖ</t>
        </is>
      </c>
      <c r="E1" s="1" t="inlineStr">
        <is>
          <t>f(aₖ)</t>
        </is>
      </c>
      <c r="F1" s="1" t="inlineStr">
        <is>
          <t>f(cₖ)</t>
        </is>
      </c>
      <c r="G1" s="1" t="inlineStr">
        <is>
          <t>f(bₖ)</t>
        </is>
      </c>
      <c r="H1" s="1" t="inlineStr">
        <is>
          <t>f(a)·f(c)</t>
        </is>
      </c>
      <c r="I1" s="1" t="inlineStr">
        <is>
          <t>Error %</t>
        </is>
      </c>
      <c r="J1" s="1" t="inlineStr">
        <is>
          <t>Convergencia</t>
        </is>
      </c>
    </row>
    <row r="2">
      <c r="A2" s="2" t="n">
        <v>0</v>
      </c>
      <c r="B2" s="2" t="n">
        <v>1</v>
      </c>
      <c r="C2" s="2">
        <f>(B2+D2)/2</f>
        <v/>
      </c>
      <c r="D2" s="2" t="n">
        <v>2</v>
      </c>
      <c r="E2" s="2">
        <f>B2^2-2</f>
        <v/>
      </c>
      <c r="F2" s="2">
        <f>C2^2-2</f>
        <v/>
      </c>
      <c r="G2" s="2">
        <f>D2^2-2</f>
        <v/>
      </c>
      <c r="H2" s="2">
        <f>E2*F2</f>
        <v/>
      </c>
      <c r="I2" s="2" t="n"/>
      <c r="J2" s="2" t="n"/>
    </row>
    <row r="3">
      <c r="A3" s="1" t="n">
        <v>1</v>
      </c>
      <c r="B3" s="1">
        <f>IF(E2*F2&lt;0,B2,C2)</f>
        <v/>
      </c>
      <c r="C3" s="1">
        <f>(B3+D3)/2</f>
        <v/>
      </c>
      <c r="D3" s="1">
        <f>IF(E2*F2&lt;0,C2,D2)</f>
        <v/>
      </c>
      <c r="E3" s="1">
        <f>B3^2-2</f>
        <v/>
      </c>
      <c r="F3" s="1">
        <f>C3^2-2</f>
        <v/>
      </c>
      <c r="G3" s="1">
        <f>D3^2-2</f>
        <v/>
      </c>
      <c r="H3" s="1">
        <f>E3*F3</f>
        <v/>
      </c>
      <c r="I3" s="1">
        <f>ABS((C3-C2)/C3)*100</f>
        <v/>
      </c>
      <c r="J3" s="1">
        <f>IF(I3&lt;0.00001,"SI","NO")</f>
        <v/>
      </c>
    </row>
    <row r="4">
      <c r="A4" s="2" t="n">
        <v>2</v>
      </c>
      <c r="B4" s="2">
        <f>IF(E3*F3&lt;0,B3,C3)</f>
        <v/>
      </c>
      <c r="C4" s="2">
        <f>(B4+D4)/2</f>
        <v/>
      </c>
      <c r="D4" s="2">
        <f>IF(E3*F3&lt;0,C3,D3)</f>
        <v/>
      </c>
      <c r="E4" s="2">
        <f>B4^2-2</f>
        <v/>
      </c>
      <c r="F4" s="2">
        <f>C4^2-2</f>
        <v/>
      </c>
      <c r="G4" s="2">
        <f>D4^2-2</f>
        <v/>
      </c>
      <c r="H4" s="2">
        <f>E4*F4</f>
        <v/>
      </c>
      <c r="I4" s="2">
        <f>ABS((C4-C3)/C4)*100</f>
        <v/>
      </c>
      <c r="J4" s="2">
        <f>IF(I4&lt;0.00001,"SI","NO")</f>
        <v/>
      </c>
    </row>
    <row r="5">
      <c r="A5" s="1" t="n">
        <v>3</v>
      </c>
      <c r="B5" s="1">
        <f>IF(E4*F4&lt;0,B4,C4)</f>
        <v/>
      </c>
      <c r="C5" s="1">
        <f>(B5+D5)/2</f>
        <v/>
      </c>
      <c r="D5" s="1">
        <f>IF(E4*F4&lt;0,C4,D4)</f>
        <v/>
      </c>
      <c r="E5" s="1">
        <f>B5^2-2</f>
        <v/>
      </c>
      <c r="F5" s="1">
        <f>C5^2-2</f>
        <v/>
      </c>
      <c r="G5" s="1">
        <f>D5^2-2</f>
        <v/>
      </c>
      <c r="H5" s="1">
        <f>E5*F5</f>
        <v/>
      </c>
      <c r="I5" s="1">
        <f>ABS((C5-C4)/C5)*100</f>
        <v/>
      </c>
      <c r="J5" s="1">
        <f>IF(I5&lt;0.00001,"SI","NO")</f>
        <v/>
      </c>
    </row>
    <row r="6">
      <c r="A6" s="2" t="n">
        <v>4</v>
      </c>
      <c r="B6" s="2">
        <f>IF(E5*F5&lt;0,B5,C5)</f>
        <v/>
      </c>
      <c r="C6" s="2">
        <f>(B6+D6)/2</f>
        <v/>
      </c>
      <c r="D6" s="2">
        <f>IF(E5*F5&lt;0,C5,D5)</f>
        <v/>
      </c>
      <c r="E6" s="2">
        <f>B6^2-2</f>
        <v/>
      </c>
      <c r="F6" s="2">
        <f>C6^2-2</f>
        <v/>
      </c>
      <c r="G6" s="2">
        <f>D6^2-2</f>
        <v/>
      </c>
      <c r="H6" s="2">
        <f>E6*F6</f>
        <v/>
      </c>
      <c r="I6" s="2">
        <f>ABS((C6-C5)/C6)*100</f>
        <v/>
      </c>
      <c r="J6" s="2">
        <f>IF(I6&lt;0.00001,"SI","NO")</f>
        <v/>
      </c>
    </row>
    <row r="7">
      <c r="A7" s="1" t="n">
        <v>5</v>
      </c>
      <c r="B7" s="1">
        <f>IF(E6*F6&lt;0,B6,C6)</f>
        <v/>
      </c>
      <c r="C7" s="1">
        <f>(B7+D7)/2</f>
        <v/>
      </c>
      <c r="D7" s="1">
        <f>IF(E6*F6&lt;0,C6,D6)</f>
        <v/>
      </c>
      <c r="E7" s="1">
        <f>B7^2-2</f>
        <v/>
      </c>
      <c r="F7" s="1">
        <f>C7^2-2</f>
        <v/>
      </c>
      <c r="G7" s="1">
        <f>D7^2-2</f>
        <v/>
      </c>
      <c r="H7" s="1">
        <f>E7*F7</f>
        <v/>
      </c>
      <c r="I7" s="1">
        <f>ABS((C7-C6)/C7)*100</f>
        <v/>
      </c>
      <c r="J7" s="1">
        <f>IF(I7&lt;0.00001,"SI","NO")</f>
        <v/>
      </c>
    </row>
    <row r="8">
      <c r="A8" s="2" t="n">
        <v>6</v>
      </c>
      <c r="B8" s="2">
        <f>IF(E7*F7&lt;0,B7,C7)</f>
        <v/>
      </c>
      <c r="C8" s="2">
        <f>(B8+D8)/2</f>
        <v/>
      </c>
      <c r="D8" s="2">
        <f>IF(E7*F7&lt;0,C7,D7)</f>
        <v/>
      </c>
      <c r="E8" s="2">
        <f>B8^2-2</f>
        <v/>
      </c>
      <c r="F8" s="2">
        <f>C8^2-2</f>
        <v/>
      </c>
      <c r="G8" s="2">
        <f>D8^2-2</f>
        <v/>
      </c>
      <c r="H8" s="2">
        <f>E8*F8</f>
        <v/>
      </c>
      <c r="I8" s="2">
        <f>ABS((C8-C7)/C8)*100</f>
        <v/>
      </c>
      <c r="J8" s="2">
        <f>IF(I8&lt;0.00001,"SI","NO")</f>
        <v/>
      </c>
    </row>
    <row r="9">
      <c r="A9" s="1" t="n">
        <v>7</v>
      </c>
      <c r="B9" s="1">
        <f>IF(E8*F8&lt;0,B8,C8)</f>
        <v/>
      </c>
      <c r="C9" s="1">
        <f>(B9+D9)/2</f>
        <v/>
      </c>
      <c r="D9" s="1">
        <f>IF(E8*F8&lt;0,C8,D8)</f>
        <v/>
      </c>
      <c r="E9" s="1">
        <f>B9^2-2</f>
        <v/>
      </c>
      <c r="F9" s="1">
        <f>C9^2-2</f>
        <v/>
      </c>
      <c r="G9" s="1">
        <f>D9^2-2</f>
        <v/>
      </c>
      <c r="H9" s="1">
        <f>E9*F9</f>
        <v/>
      </c>
      <c r="I9" s="1">
        <f>ABS((C9-C8)/C9)*100</f>
        <v/>
      </c>
      <c r="J9" s="1">
        <f>IF(I9&lt;0.00001,"SI","NO")</f>
        <v/>
      </c>
    </row>
    <row r="10">
      <c r="A10" s="2" t="n">
        <v>8</v>
      </c>
      <c r="B10" s="2">
        <f>IF(E9*F9&lt;0,B9,C9)</f>
        <v/>
      </c>
      <c r="C10" s="2">
        <f>(B10+D10)/2</f>
        <v/>
      </c>
      <c r="D10" s="2">
        <f>IF(E9*F9&lt;0,C9,D9)</f>
        <v/>
      </c>
      <c r="E10" s="2">
        <f>B10^2-2</f>
        <v/>
      </c>
      <c r="F10" s="2">
        <f>C10^2-2</f>
        <v/>
      </c>
      <c r="G10" s="2">
        <f>D10^2-2</f>
        <v/>
      </c>
      <c r="H10" s="2">
        <f>E10*F10</f>
        <v/>
      </c>
      <c r="I10" s="2">
        <f>ABS((C10-C9)/C10)*100</f>
        <v/>
      </c>
      <c r="J10" s="2">
        <f>IF(I10&lt;0.00001,"SI","NO")</f>
        <v/>
      </c>
    </row>
    <row r="11">
      <c r="A11" s="1" t="n">
        <v>9</v>
      </c>
      <c r="B11" s="1">
        <f>IF(E10*F10&lt;0,B10,C10)</f>
        <v/>
      </c>
      <c r="C11" s="1">
        <f>(B11+D11)/2</f>
        <v/>
      </c>
      <c r="D11" s="1">
        <f>IF(E10*F10&lt;0,C10,D10)</f>
        <v/>
      </c>
      <c r="E11" s="1">
        <f>B11^2-2</f>
        <v/>
      </c>
      <c r="F11" s="1">
        <f>C11^2-2</f>
        <v/>
      </c>
      <c r="G11" s="1">
        <f>D11^2-2</f>
        <v/>
      </c>
      <c r="H11" s="1">
        <f>E11*F11</f>
        <v/>
      </c>
      <c r="I11" s="1">
        <f>ABS((C11-C10)/C11)*100</f>
        <v/>
      </c>
      <c r="J11" s="1">
        <f>IF(I11&lt;0.00001,"SI","NO")</f>
        <v/>
      </c>
    </row>
    <row r="12">
      <c r="A12" s="2" t="n">
        <v>10</v>
      </c>
      <c r="B12" s="2">
        <f>IF(E11*F11&lt;0,B11,C11)</f>
        <v/>
      </c>
      <c r="C12" s="2">
        <f>(B12+D12)/2</f>
        <v/>
      </c>
      <c r="D12" s="2">
        <f>IF(E11*F11&lt;0,C11,D11)</f>
        <v/>
      </c>
      <c r="E12" s="2">
        <f>B12^2-2</f>
        <v/>
      </c>
      <c r="F12" s="2">
        <f>C12^2-2</f>
        <v/>
      </c>
      <c r="G12" s="2">
        <f>D12^2-2</f>
        <v/>
      </c>
      <c r="H12" s="2">
        <f>E12*F12</f>
        <v/>
      </c>
      <c r="I12" s="2">
        <f>ABS((C12-C11)/C12)*100</f>
        <v/>
      </c>
      <c r="J12" s="2">
        <f>IF(I12&lt;0.00001,"SI","NO")</f>
        <v/>
      </c>
    </row>
    <row r="13">
      <c r="A13" s="1" t="n">
        <v>11</v>
      </c>
      <c r="B13" s="1">
        <f>IF(E12*F12&lt;0,B12,C12)</f>
        <v/>
      </c>
      <c r="C13" s="1">
        <f>(B13+D13)/2</f>
        <v/>
      </c>
      <c r="D13" s="1">
        <f>IF(E12*F12&lt;0,C12,D12)</f>
        <v/>
      </c>
      <c r="E13" s="1">
        <f>B13^2-2</f>
        <v/>
      </c>
      <c r="F13" s="1">
        <f>C13^2-2</f>
        <v/>
      </c>
      <c r="G13" s="1">
        <f>D13^2-2</f>
        <v/>
      </c>
      <c r="H13" s="1">
        <f>E13*F13</f>
        <v/>
      </c>
      <c r="I13" s="1">
        <f>ABS((C13-C12)/C13)*100</f>
        <v/>
      </c>
      <c r="J13" s="1">
        <f>IF(I13&lt;0.00001,"SI","NO")</f>
        <v/>
      </c>
    </row>
    <row r="14">
      <c r="A14" s="2" t="n">
        <v>12</v>
      </c>
      <c r="B14" s="2">
        <f>IF(E13*F13&lt;0,B13,C13)</f>
        <v/>
      </c>
      <c r="C14" s="2">
        <f>(B14+D14)/2</f>
        <v/>
      </c>
      <c r="D14" s="2">
        <f>IF(E13*F13&lt;0,C13,D13)</f>
        <v/>
      </c>
      <c r="E14" s="2">
        <f>B14^2-2</f>
        <v/>
      </c>
      <c r="F14" s="2">
        <f>C14^2-2</f>
        <v/>
      </c>
      <c r="G14" s="2">
        <f>D14^2-2</f>
        <v/>
      </c>
      <c r="H14" s="2">
        <f>E14*F14</f>
        <v/>
      </c>
      <c r="I14" s="2">
        <f>ABS((C14-C13)/C14)*100</f>
        <v/>
      </c>
      <c r="J14" s="2">
        <f>IF(I14&lt;0.00001,"SI","NO")</f>
        <v/>
      </c>
    </row>
    <row r="15">
      <c r="A15" s="1" t="n">
        <v>13</v>
      </c>
      <c r="B15" s="1">
        <f>IF(E14*F14&lt;0,B14,C14)</f>
        <v/>
      </c>
      <c r="C15" s="1">
        <f>(B15+D15)/2</f>
        <v/>
      </c>
      <c r="D15" s="1">
        <f>IF(E14*F14&lt;0,C14,D14)</f>
        <v/>
      </c>
      <c r="E15" s="1">
        <f>B15^2-2</f>
        <v/>
      </c>
      <c r="F15" s="1">
        <f>C15^2-2</f>
        <v/>
      </c>
      <c r="G15" s="1">
        <f>D15^2-2</f>
        <v/>
      </c>
      <c r="H15" s="1">
        <f>E15*F15</f>
        <v/>
      </c>
      <c r="I15" s="1">
        <f>ABS((C15-C14)/C15)*100</f>
        <v/>
      </c>
      <c r="J15" s="1">
        <f>IF(I15&lt;0.00001,"SI","NO")</f>
        <v/>
      </c>
    </row>
    <row r="16">
      <c r="A16" s="2" t="n">
        <v>14</v>
      </c>
      <c r="B16" s="2">
        <f>IF(E15*F15&lt;0,B15,C15)</f>
        <v/>
      </c>
      <c r="C16" s="2">
        <f>(B16+D16)/2</f>
        <v/>
      </c>
      <c r="D16" s="2">
        <f>IF(E15*F15&lt;0,C15,D15)</f>
        <v/>
      </c>
      <c r="E16" s="2">
        <f>B16^2-2</f>
        <v/>
      </c>
      <c r="F16" s="2">
        <f>C16^2-2</f>
        <v/>
      </c>
      <c r="G16" s="2">
        <f>D16^2-2</f>
        <v/>
      </c>
      <c r="H16" s="2">
        <f>E16*F16</f>
        <v/>
      </c>
      <c r="I16" s="2">
        <f>ABS((C16-C15)/C16)*100</f>
        <v/>
      </c>
      <c r="J16" s="2">
        <f>IF(I16&lt;0.00001,"SI","NO")</f>
        <v/>
      </c>
    </row>
    <row r="17">
      <c r="A17" s="1" t="n">
        <v>15</v>
      </c>
      <c r="B17" s="1">
        <f>IF(E16*F16&lt;0,B16,C16)</f>
        <v/>
      </c>
      <c r="C17" s="1">
        <f>(B17+D17)/2</f>
        <v/>
      </c>
      <c r="D17" s="1">
        <f>IF(E16*F16&lt;0,C16,D16)</f>
        <v/>
      </c>
      <c r="E17" s="1">
        <f>B17^2-2</f>
        <v/>
      </c>
      <c r="F17" s="1">
        <f>C17^2-2</f>
        <v/>
      </c>
      <c r="G17" s="1">
        <f>D17^2-2</f>
        <v/>
      </c>
      <c r="H17" s="1">
        <f>E17*F17</f>
        <v/>
      </c>
      <c r="I17" s="1">
        <f>ABS((C17-C16)/C17)*100</f>
        <v/>
      </c>
      <c r="J17" s="1">
        <f>IF(I17&lt;0.00001,"SI","NO")</f>
        <v/>
      </c>
    </row>
    <row r="18">
      <c r="A18" s="2" t="n">
        <v>16</v>
      </c>
      <c r="B18" s="2">
        <f>IF(E17*F17&lt;0,B17,C17)</f>
        <v/>
      </c>
      <c r="C18" s="2">
        <f>(B18+D18)/2</f>
        <v/>
      </c>
      <c r="D18" s="2">
        <f>IF(E17*F17&lt;0,C17,D17)</f>
        <v/>
      </c>
      <c r="E18" s="2">
        <f>B18^2-2</f>
        <v/>
      </c>
      <c r="F18" s="2">
        <f>C18^2-2</f>
        <v/>
      </c>
      <c r="G18" s="2">
        <f>D18^2-2</f>
        <v/>
      </c>
      <c r="H18" s="2">
        <f>E18*F18</f>
        <v/>
      </c>
      <c r="I18" s="2">
        <f>ABS((C18-C17)/C18)*100</f>
        <v/>
      </c>
      <c r="J18" s="2">
        <f>IF(I18&lt;0.00001,"SI","NO")</f>
        <v/>
      </c>
    </row>
    <row r="19">
      <c r="A19" s="1" t="n">
        <v>17</v>
      </c>
      <c r="B19" s="1">
        <f>IF(E18*F18&lt;0,B18,C18)</f>
        <v/>
      </c>
      <c r="C19" s="1">
        <f>(B19+D19)/2</f>
        <v/>
      </c>
      <c r="D19" s="1">
        <f>IF(E18*F18&lt;0,C18,D18)</f>
        <v/>
      </c>
      <c r="E19" s="1">
        <f>B19^2-2</f>
        <v/>
      </c>
      <c r="F19" s="1">
        <f>C19^2-2</f>
        <v/>
      </c>
      <c r="G19" s="1">
        <f>D19^2-2</f>
        <v/>
      </c>
      <c r="H19" s="1">
        <f>E19*F19</f>
        <v/>
      </c>
      <c r="I19" s="1">
        <f>ABS((C19-C18)/C19)*100</f>
        <v/>
      </c>
      <c r="J19" s="1">
        <f>IF(I19&lt;0.00001,"SI","NO")</f>
        <v/>
      </c>
    </row>
    <row r="20">
      <c r="A20" s="2" t="n">
        <v>18</v>
      </c>
      <c r="B20" s="2">
        <f>IF(E19*F19&lt;0,B19,C19)</f>
        <v/>
      </c>
      <c r="C20" s="2">
        <f>(B20+D20)/2</f>
        <v/>
      </c>
      <c r="D20" s="2">
        <f>IF(E19*F19&lt;0,C19,D19)</f>
        <v/>
      </c>
      <c r="E20" s="2">
        <f>B20^2-2</f>
        <v/>
      </c>
      <c r="F20" s="2">
        <f>C20^2-2</f>
        <v/>
      </c>
      <c r="G20" s="2">
        <f>D20^2-2</f>
        <v/>
      </c>
      <c r="H20" s="2">
        <f>E20*F20</f>
        <v/>
      </c>
      <c r="I20" s="2">
        <f>ABS((C20-C19)/C20)*100</f>
        <v/>
      </c>
      <c r="J20" s="2">
        <f>IF(I20&lt;0.00001,"SI","NO")</f>
        <v/>
      </c>
    </row>
    <row r="21">
      <c r="A21" s="1" t="n">
        <v>19</v>
      </c>
      <c r="B21" s="1">
        <f>IF(E20*F20&lt;0,B20,C20)</f>
        <v/>
      </c>
      <c r="C21" s="1">
        <f>(B21+D21)/2</f>
        <v/>
      </c>
      <c r="D21" s="1">
        <f>IF(E20*F20&lt;0,C20,D20)</f>
        <v/>
      </c>
      <c r="E21" s="1">
        <f>B21^2-2</f>
        <v/>
      </c>
      <c r="F21" s="1">
        <f>C21^2-2</f>
        <v/>
      </c>
      <c r="G21" s="1">
        <f>D21^2-2</f>
        <v/>
      </c>
      <c r="H21" s="1">
        <f>E21*F21</f>
        <v/>
      </c>
      <c r="I21" s="1">
        <f>ABS((C21-C20)/C21)*100</f>
        <v/>
      </c>
      <c r="J21" s="1">
        <f>IF(I21&lt;0.00001,"SI","NO")</f>
        <v/>
      </c>
    </row>
    <row r="22">
      <c r="A22" s="2" t="n">
        <v>20</v>
      </c>
      <c r="B22" s="2">
        <f>IF(E21*F21&lt;0,B21,C21)</f>
        <v/>
      </c>
      <c r="C22" s="2">
        <f>(B22+D22)/2</f>
        <v/>
      </c>
      <c r="D22" s="2">
        <f>IF(E21*F21&lt;0,C21,D21)</f>
        <v/>
      </c>
      <c r="E22" s="2">
        <f>B22^2-2</f>
        <v/>
      </c>
      <c r="F22" s="2">
        <f>C22^2-2</f>
        <v/>
      </c>
      <c r="G22" s="2">
        <f>D22^2-2</f>
        <v/>
      </c>
      <c r="H22" s="2">
        <f>E22*F22</f>
        <v/>
      </c>
      <c r="I22" s="2">
        <f>ABS((C22-C21)/C22)*100</f>
        <v/>
      </c>
      <c r="J22" s="2">
        <f>IF(I22&lt;0.00001,"SI","NO")</f>
        <v/>
      </c>
    </row>
    <row r="23">
      <c r="A23" s="1" t="n">
        <v>21</v>
      </c>
      <c r="B23" s="1">
        <f>IF(E22*F22&lt;0,B22,C22)</f>
        <v/>
      </c>
      <c r="C23" s="1">
        <f>(B23+D23)/2</f>
        <v/>
      </c>
      <c r="D23" s="1">
        <f>IF(E22*F22&lt;0,C22,D22)</f>
        <v/>
      </c>
      <c r="E23" s="1">
        <f>B23^2-2</f>
        <v/>
      </c>
      <c r="F23" s="1">
        <f>C23^2-2</f>
        <v/>
      </c>
      <c r="G23" s="1">
        <f>D23^2-2</f>
        <v/>
      </c>
      <c r="H23" s="1">
        <f>E23*F23</f>
        <v/>
      </c>
      <c r="I23" s="1">
        <f>ABS((C23-C22)/C23)*100</f>
        <v/>
      </c>
      <c r="J23" s="1">
        <f>IF(I23&lt;0.00001,"SI","NO")</f>
        <v/>
      </c>
    </row>
    <row r="24">
      <c r="A24" s="2" t="n">
        <v>22</v>
      </c>
      <c r="B24" s="2">
        <f>IF(E23*F23&lt;0,B23,C23)</f>
        <v/>
      </c>
      <c r="C24" s="2">
        <f>(B24+D24)/2</f>
        <v/>
      </c>
      <c r="D24" s="2">
        <f>IF(E23*F23&lt;0,C23,D23)</f>
        <v/>
      </c>
      <c r="E24" s="2">
        <f>B24^2-2</f>
        <v/>
      </c>
      <c r="F24" s="2">
        <f>C24^2-2</f>
        <v/>
      </c>
      <c r="G24" s="2">
        <f>D24^2-2</f>
        <v/>
      </c>
      <c r="H24" s="2">
        <f>E24*F24</f>
        <v/>
      </c>
      <c r="I24" s="2">
        <f>ABS((C24-C23)/C24)*100</f>
        <v/>
      </c>
      <c r="J24" s="2">
        <f>IF(I24&lt;0.00001,"SI","NO")</f>
        <v/>
      </c>
    </row>
    <row r="25">
      <c r="A25" s="3" t="inlineStr">
        <is>
          <t>MÉTODO DE BISECCIÓN  —  f(x) = x² − 2 = 0</t>
        </is>
      </c>
    </row>
    <row r="26">
      <c r="A26" s="4" t="inlineStr">
        <is>
          <t>Ecuación:</t>
        </is>
      </c>
      <c r="B26" s="4" t="inlineStr">
        <is>
          <t>f(x) = x² - 2</t>
        </is>
      </c>
      <c r="C26" s="4" t="n"/>
      <c r="D26" s="4" t="inlineStr">
        <is>
          <t>Intervalo inicial:</t>
        </is>
      </c>
      <c r="E26" s="4" t="inlineStr">
        <is>
          <t>[a₀, b₀] = [1, 2]</t>
        </is>
      </c>
      <c r="F26" s="4" t="n"/>
      <c r="G26" s="4" t="inlineStr">
        <is>
          <t>Tolerancia:</t>
        </is>
      </c>
      <c r="H26" s="4" t="inlineStr">
        <is>
          <t>ε &lt; 1×10⁻⁴ %</t>
        </is>
      </c>
      <c r="I26" s="4" t="n"/>
      <c r="J26" s="4" t="n"/>
    </row>
    <row r="27">
      <c r="D27" t="inlineStr">
        <is>
          <t>FORMULA:</t>
        </is>
      </c>
      <c r="E27" t="inlineStr">
        <is>
          <t>CN = (aₙ + bₙ) / 2</t>
        </is>
      </c>
    </row>
  </sheetData>
  <mergeCells count="1">
    <mergeCell ref="A25:J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k</t>
        </is>
      </c>
      <c r="B1" s="5" t="inlineStr">
        <is>
          <t>aₖ</t>
        </is>
      </c>
      <c r="C1" s="5" t="inlineStr">
        <is>
          <t>cₖ (Reg. Falsi)</t>
        </is>
      </c>
      <c r="D1" s="5" t="inlineStr">
        <is>
          <t>bₖ</t>
        </is>
      </c>
      <c r="E1" s="5" t="inlineStr">
        <is>
          <t>f(aₖ)</t>
        </is>
      </c>
      <c r="F1" s="5" t="inlineStr">
        <is>
          <t>f(cₖ)</t>
        </is>
      </c>
      <c r="G1" s="5" t="inlineStr">
        <is>
          <t>f(bₖ)</t>
        </is>
      </c>
      <c r="H1" s="5" t="inlineStr">
        <is>
          <t>f(a)·f(c)</t>
        </is>
      </c>
      <c r="I1" s="5" t="inlineStr">
        <is>
          <t>Error %</t>
        </is>
      </c>
      <c r="J1" s="5" t="inlineStr">
        <is>
          <t>Convergencia</t>
        </is>
      </c>
    </row>
    <row r="2">
      <c r="A2" s="6" t="n">
        <v>0</v>
      </c>
      <c r="B2" s="6" t="n">
        <v>1</v>
      </c>
      <c r="C2" s="6">
        <f>B2-(E2*(D2-B2))/(G2-E2)</f>
        <v/>
      </c>
      <c r="D2" s="6" t="n">
        <v>2</v>
      </c>
      <c r="E2" s="6">
        <f>B2^2-2</f>
        <v/>
      </c>
      <c r="F2" s="6">
        <f>C2^2-2</f>
        <v/>
      </c>
      <c r="G2" s="6">
        <f>D2^2-2</f>
        <v/>
      </c>
      <c r="H2" s="6">
        <f>E2*F2</f>
        <v/>
      </c>
      <c r="I2" s="6" t="n"/>
      <c r="J2" s="6" t="n"/>
    </row>
    <row r="3">
      <c r="A3" s="5" t="n">
        <v>1</v>
      </c>
      <c r="B3" s="5">
        <f>IF(E2*F2&lt;0,B2,C2)</f>
        <v/>
      </c>
      <c r="C3" s="5">
        <f>B3-(E3*(D3-B3))/(G3-E3)</f>
        <v/>
      </c>
      <c r="D3" s="5">
        <f>IF(E2*F2&lt;0,C2,D2)</f>
        <v/>
      </c>
      <c r="E3" s="5">
        <f>B3^2-2</f>
        <v/>
      </c>
      <c r="F3" s="5">
        <f>C3^2-2</f>
        <v/>
      </c>
      <c r="G3" s="5">
        <f>D3^2-2</f>
        <v/>
      </c>
      <c r="H3" s="5">
        <f>E3*F3</f>
        <v/>
      </c>
      <c r="I3" s="5">
        <f>ABS((C3-C2)/C3)*100</f>
        <v/>
      </c>
      <c r="J3" s="5">
        <f>IF(I3&lt;0.00001,"SI","NO")</f>
        <v/>
      </c>
    </row>
    <row r="4">
      <c r="A4" s="6" t="n">
        <v>2</v>
      </c>
      <c r="B4" s="6">
        <f>IF(E3*F3&lt;0,B3,C3)</f>
        <v/>
      </c>
      <c r="C4" s="6">
        <f>B4-(E4*(D4-B4))/(G4-E4)</f>
        <v/>
      </c>
      <c r="D4" s="6">
        <f>IF(E3*F3&lt;0,C3,D3)</f>
        <v/>
      </c>
      <c r="E4" s="6">
        <f>B4^2-2</f>
        <v/>
      </c>
      <c r="F4" s="6">
        <f>C4^2-2</f>
        <v/>
      </c>
      <c r="G4" s="6">
        <f>D4^2-2</f>
        <v/>
      </c>
      <c r="H4" s="6">
        <f>E4*F4</f>
        <v/>
      </c>
      <c r="I4" s="6">
        <f>ABS((C4-C3)/C4)*100</f>
        <v/>
      </c>
      <c r="J4" s="6">
        <f>IF(I4&lt;0.00001,"SI","NO")</f>
        <v/>
      </c>
    </row>
    <row r="5">
      <c r="A5" s="5" t="n">
        <v>3</v>
      </c>
      <c r="B5" s="5">
        <f>IF(E4*F4&lt;0,B4,C4)</f>
        <v/>
      </c>
      <c r="C5" s="5">
        <f>B5-(E5*(D5-B5))/(G5-E5)</f>
        <v/>
      </c>
      <c r="D5" s="5">
        <f>IF(E4*F4&lt;0,C4,D4)</f>
        <v/>
      </c>
      <c r="E5" s="5">
        <f>B5^2-2</f>
        <v/>
      </c>
      <c r="F5" s="5">
        <f>C5^2-2</f>
        <v/>
      </c>
      <c r="G5" s="5">
        <f>D5^2-2</f>
        <v/>
      </c>
      <c r="H5" s="5">
        <f>E5*F5</f>
        <v/>
      </c>
      <c r="I5" s="5">
        <f>ABS((C5-C4)/C5)*100</f>
        <v/>
      </c>
      <c r="J5" s="5">
        <f>IF(I5&lt;0.00001,"SI","NO")</f>
        <v/>
      </c>
    </row>
    <row r="6">
      <c r="A6" s="6" t="n">
        <v>4</v>
      </c>
      <c r="B6" s="6">
        <f>IF(E5*F5&lt;0,B5,C5)</f>
        <v/>
      </c>
      <c r="C6" s="6">
        <f>B6-(E6*(D6-B6))/(G6-E6)</f>
        <v/>
      </c>
      <c r="D6" s="6">
        <f>IF(E5*F5&lt;0,C5,D5)</f>
        <v/>
      </c>
      <c r="E6" s="6">
        <f>B6^2-2</f>
        <v/>
      </c>
      <c r="F6" s="6">
        <f>C6^2-2</f>
        <v/>
      </c>
      <c r="G6" s="6">
        <f>D6^2-2</f>
        <v/>
      </c>
      <c r="H6" s="6">
        <f>E6*F6</f>
        <v/>
      </c>
      <c r="I6" s="6">
        <f>ABS((C6-C5)/C6)*100</f>
        <v/>
      </c>
      <c r="J6" s="6">
        <f>IF(I6&lt;0.00001,"SI","NO")</f>
        <v/>
      </c>
    </row>
    <row r="7">
      <c r="A7" s="5" t="n">
        <v>5</v>
      </c>
      <c r="B7" s="5">
        <f>IF(E6*F6&lt;0,B6,C6)</f>
        <v/>
      </c>
      <c r="C7" s="5">
        <f>B7-(E7*(D7-B7))/(G7-E7)</f>
        <v/>
      </c>
      <c r="D7" s="5">
        <f>IF(E6*F6&lt;0,C6,D6)</f>
        <v/>
      </c>
      <c r="E7" s="5">
        <f>B7^2-2</f>
        <v/>
      </c>
      <c r="F7" s="5">
        <f>C7^2-2</f>
        <v/>
      </c>
      <c r="G7" s="5">
        <f>D7^2-2</f>
        <v/>
      </c>
      <c r="H7" s="5">
        <f>E7*F7</f>
        <v/>
      </c>
      <c r="I7" s="5">
        <f>ABS((C7-C6)/C7)*100</f>
        <v/>
      </c>
      <c r="J7" s="5">
        <f>IF(I7&lt;0.00001,"SI","NO")</f>
        <v/>
      </c>
    </row>
    <row r="8">
      <c r="A8" s="6" t="n">
        <v>6</v>
      </c>
      <c r="B8" s="6">
        <f>IF(E7*F7&lt;0,B7,C7)</f>
        <v/>
      </c>
      <c r="C8" s="6">
        <f>B8-(E8*(D8-B8))/(G8-E8)</f>
        <v/>
      </c>
      <c r="D8" s="6">
        <f>IF(E7*F7&lt;0,C7,D7)</f>
        <v/>
      </c>
      <c r="E8" s="6">
        <f>B8^2-2</f>
        <v/>
      </c>
      <c r="F8" s="6">
        <f>C8^2-2</f>
        <v/>
      </c>
      <c r="G8" s="6">
        <f>D8^2-2</f>
        <v/>
      </c>
      <c r="H8" s="6">
        <f>E8*F8</f>
        <v/>
      </c>
      <c r="I8" s="6">
        <f>ABS((C8-C7)/C8)*100</f>
        <v/>
      </c>
      <c r="J8" s="6">
        <f>IF(I8&lt;0.00001,"SI","NO")</f>
        <v/>
      </c>
    </row>
    <row r="9">
      <c r="A9" s="5" t="n">
        <v>7</v>
      </c>
      <c r="B9" s="5">
        <f>IF(E8*F8&lt;0,B8,C8)</f>
        <v/>
      </c>
      <c r="C9" s="5">
        <f>B9-(E9*(D9-B9))/(G9-E9)</f>
        <v/>
      </c>
      <c r="D9" s="5">
        <f>IF(E8*F8&lt;0,C8,D8)</f>
        <v/>
      </c>
      <c r="E9" s="5">
        <f>B9^2-2</f>
        <v/>
      </c>
      <c r="F9" s="5">
        <f>C9^2-2</f>
        <v/>
      </c>
      <c r="G9" s="5">
        <f>D9^2-2</f>
        <v/>
      </c>
      <c r="H9" s="5">
        <f>E9*F9</f>
        <v/>
      </c>
      <c r="I9" s="5">
        <f>ABS((C9-C8)/C9)*100</f>
        <v/>
      </c>
      <c r="J9" s="5">
        <f>IF(I9&lt;0.00001,"SI","NO")</f>
        <v/>
      </c>
    </row>
    <row r="10">
      <c r="A10" s="6" t="n">
        <v>8</v>
      </c>
      <c r="B10" s="6">
        <f>IF(E9*F9&lt;0,B9,C9)</f>
        <v/>
      </c>
      <c r="C10" s="6">
        <f>B10-(E10*(D10-B10))/(G10-E10)</f>
        <v/>
      </c>
      <c r="D10" s="6">
        <f>IF(E9*F9&lt;0,C9,D9)</f>
        <v/>
      </c>
      <c r="E10" s="6">
        <f>B10^2-2</f>
        <v/>
      </c>
      <c r="F10" s="6">
        <f>C10^2-2</f>
        <v/>
      </c>
      <c r="G10" s="6">
        <f>D10^2-2</f>
        <v/>
      </c>
      <c r="H10" s="6">
        <f>E10*F10</f>
        <v/>
      </c>
      <c r="I10" s="6">
        <f>ABS((C10-C9)/C10)*100</f>
        <v/>
      </c>
      <c r="J10" s="6">
        <f>IF(I10&lt;0.00001,"SI","NO")</f>
        <v/>
      </c>
    </row>
    <row r="11">
      <c r="A11" s="5" t="n">
        <v>9</v>
      </c>
      <c r="B11" s="5">
        <f>IF(E10*F10&lt;0,B10,C10)</f>
        <v/>
      </c>
      <c r="C11" s="5">
        <f>B11-(E11*(D11-B11))/(G11-E11)</f>
        <v/>
      </c>
      <c r="D11" s="5">
        <f>IF(E10*F10&lt;0,C10,D10)</f>
        <v/>
      </c>
      <c r="E11" s="5">
        <f>B11^2-2</f>
        <v/>
      </c>
      <c r="F11" s="5">
        <f>C11^2-2</f>
        <v/>
      </c>
      <c r="G11" s="5">
        <f>D11^2-2</f>
        <v/>
      </c>
      <c r="H11" s="5">
        <f>E11*F11</f>
        <v/>
      </c>
      <c r="I11" s="5">
        <f>ABS((C11-C10)/C11)*100</f>
        <v/>
      </c>
      <c r="J11" s="5">
        <f>IF(I11&lt;0.00001,"SI","NO")</f>
        <v/>
      </c>
    </row>
    <row r="12">
      <c r="A12" s="7" t="inlineStr">
        <is>
          <t>MÉTODO DE REGULA FALSI  —  f(x) = x² − 2 = 0</t>
        </is>
      </c>
    </row>
    <row r="13">
      <c r="A13" s="4" t="inlineStr">
        <is>
          <t>Ecuación:</t>
        </is>
      </c>
      <c r="B13" s="4" t="inlineStr">
        <is>
          <t>f(x) = x² - 2</t>
        </is>
      </c>
      <c r="C13" s="4" t="n"/>
      <c r="D13" s="4" t="inlineStr">
        <is>
          <t>Intervalo inicial:</t>
        </is>
      </c>
      <c r="E13" s="4" t="inlineStr">
        <is>
          <t>[a₀, b₀] = [1, 2]</t>
        </is>
      </c>
      <c r="F13" s="4" t="n"/>
      <c r="G13" s="4" t="inlineStr">
        <is>
          <t>Fórmula:</t>
        </is>
      </c>
      <c r="H13" s="4" t="inlineStr">
        <is>
          <t>c = a − f(a)·(b−a)/(f(b)−f(a))</t>
        </is>
      </c>
      <c r="I13" s="4" t="n"/>
      <c r="J13" s="4" t="n"/>
    </row>
  </sheetData>
  <mergeCells count="1">
    <mergeCell ref="A12:J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k</t>
        </is>
      </c>
      <c r="B1" s="8" t="inlineStr">
        <is>
          <t>xₖ</t>
        </is>
      </c>
      <c r="C1" s="8" t="inlineStr">
        <is>
          <t>g(xₖ)</t>
        </is>
      </c>
      <c r="D1" s="8" t="inlineStr">
        <is>
          <t>Error %</t>
        </is>
      </c>
      <c r="E1" s="8" t="inlineStr">
        <is>
          <t>Convergencia</t>
        </is>
      </c>
    </row>
    <row r="2">
      <c r="A2" s="9" t="n">
        <v>0</v>
      </c>
      <c r="B2" s="9" t="n">
        <v>1</v>
      </c>
      <c r="C2" s="9">
        <f>(B2+2)/(B2+1)</f>
        <v/>
      </c>
      <c r="D2" s="9" t="n"/>
      <c r="E2" s="9" t="n"/>
    </row>
    <row r="3">
      <c r="A3" s="8" t="n">
        <v>1</v>
      </c>
      <c r="B3" s="8">
        <f>C2</f>
        <v/>
      </c>
      <c r="C3" s="8">
        <f>(B3+2)/(B3+1)</f>
        <v/>
      </c>
      <c r="D3" s="8">
        <f>ABS((C3-B3)/C3)*100</f>
        <v/>
      </c>
      <c r="E3" s="8">
        <f>IF(D3&lt;0.00001,"SI","NO")</f>
        <v/>
      </c>
    </row>
    <row r="4">
      <c r="A4" s="9" t="n">
        <v>2</v>
      </c>
      <c r="B4" s="9">
        <f>C3</f>
        <v/>
      </c>
      <c r="C4" s="9">
        <f>(B4+2)/(B4+1)</f>
        <v/>
      </c>
      <c r="D4" s="9">
        <f>ABS((C4-B4)/C4)*100</f>
        <v/>
      </c>
      <c r="E4" s="9">
        <f>IF(D4&lt;0.00001,"SI","NO")</f>
        <v/>
      </c>
    </row>
    <row r="5">
      <c r="A5" s="8" t="n">
        <v>3</v>
      </c>
      <c r="B5" s="8">
        <f>C4</f>
        <v/>
      </c>
      <c r="C5" s="8">
        <f>(B5+2)/(B5+1)</f>
        <v/>
      </c>
      <c r="D5" s="8">
        <f>ABS((C5-B5)/C5)*100</f>
        <v/>
      </c>
      <c r="E5" s="8">
        <f>IF(D5&lt;0.00001,"SI","NO")</f>
        <v/>
      </c>
    </row>
    <row r="6">
      <c r="A6" s="9" t="n">
        <v>4</v>
      </c>
      <c r="B6" s="9">
        <f>C5</f>
        <v/>
      </c>
      <c r="C6" s="9">
        <f>(B6+2)/(B6+1)</f>
        <v/>
      </c>
      <c r="D6" s="9">
        <f>ABS((C6-B6)/C6)*100</f>
        <v/>
      </c>
      <c r="E6" s="9">
        <f>IF(D6&lt;0.00001,"SI","NO")</f>
        <v/>
      </c>
    </row>
    <row r="7">
      <c r="A7" s="8" t="n">
        <v>5</v>
      </c>
      <c r="B7" s="8">
        <f>C6</f>
        <v/>
      </c>
      <c r="C7" s="8">
        <f>(B7+2)/(B7+1)</f>
        <v/>
      </c>
      <c r="D7" s="8">
        <f>ABS((C7-B7)/C7)*100</f>
        <v/>
      </c>
      <c r="E7" s="8">
        <f>IF(D7&lt;0.00001,"SI","NO")</f>
        <v/>
      </c>
    </row>
    <row r="8">
      <c r="A8" s="9" t="n">
        <v>6</v>
      </c>
      <c r="B8" s="9">
        <f>C7</f>
        <v/>
      </c>
      <c r="C8" s="9">
        <f>(B8+2)/(B8+1)</f>
        <v/>
      </c>
      <c r="D8" s="9">
        <f>ABS((C8-B8)/C8)*100</f>
        <v/>
      </c>
      <c r="E8" s="9">
        <f>IF(D8&lt;0.00001,"SI","NO")</f>
        <v/>
      </c>
    </row>
    <row r="9">
      <c r="A9" s="8" t="n">
        <v>7</v>
      </c>
      <c r="B9" s="8">
        <f>C8</f>
        <v/>
      </c>
      <c r="C9" s="8">
        <f>(B9+2)/(B9+1)</f>
        <v/>
      </c>
      <c r="D9" s="8">
        <f>ABS((C9-B9)/C9)*100</f>
        <v/>
      </c>
      <c r="E9" s="8">
        <f>IF(D9&lt;0.00001,"SI","NO")</f>
        <v/>
      </c>
    </row>
    <row r="10">
      <c r="A10" s="9" t="n">
        <v>8</v>
      </c>
      <c r="B10" s="9">
        <f>C9</f>
        <v/>
      </c>
      <c r="C10" s="9">
        <f>(B10+2)/(B10+1)</f>
        <v/>
      </c>
      <c r="D10" s="9">
        <f>ABS((C10-B10)/C10)*100</f>
        <v/>
      </c>
      <c r="E10" s="9">
        <f>IF(D10&lt;0.00001,"SI","NO")</f>
        <v/>
      </c>
    </row>
    <row r="11">
      <c r="A11" s="8" t="n">
        <v>9</v>
      </c>
      <c r="B11" s="8">
        <f>C10</f>
        <v/>
      </c>
      <c r="C11" s="8">
        <f>(B11+2)/(B11+1)</f>
        <v/>
      </c>
      <c r="D11" s="8">
        <f>ABS((C11-B11)/C11)*100</f>
        <v/>
      </c>
      <c r="E11" s="8">
        <f>IF(D11&lt;0.00001,"SI","NO")</f>
        <v/>
      </c>
    </row>
    <row r="12">
      <c r="A12" s="10" t="inlineStr">
        <is>
          <t>MÉTODO DE PUNTO FIJO  —  f(x) = x² − 2 = 0</t>
        </is>
      </c>
    </row>
    <row r="13">
      <c r="A13" s="4" t="inlineStr">
        <is>
          <t>Ecuación:</t>
        </is>
      </c>
      <c r="B13" s="4" t="inlineStr">
        <is>
          <t>f(x) = x² - 2 → x = g(x) = (x + 2)/(x + 1)</t>
        </is>
      </c>
      <c r="C13" s="4" t="n"/>
      <c r="D13" s="4" t="inlineStr">
        <is>
          <t>g(x):</t>
        </is>
      </c>
      <c r="E13" s="4" t="inlineStr">
        <is>
          <t>g(x) = (x + 2) / (x + 1)</t>
        </is>
      </c>
    </row>
  </sheetData>
  <mergeCells count="1">
    <mergeCell ref="A12:F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k</t>
        </is>
      </c>
      <c r="B1" s="11" t="inlineStr">
        <is>
          <t>xk</t>
        </is>
      </c>
      <c r="C1" s="11" t="inlineStr">
        <is>
          <t>Error %</t>
        </is>
      </c>
      <c r="D1" s="11" t="inlineStr">
        <is>
          <t>Convergencia</t>
        </is>
      </c>
      <c r="I1" s="11" t="inlineStr">
        <is>
          <t>k</t>
        </is>
      </c>
      <c r="J1" s="11" t="inlineStr">
        <is>
          <t>xₖ</t>
        </is>
      </c>
      <c r="K1" s="11" t="inlineStr">
        <is>
          <t>g(xₖ)</t>
        </is>
      </c>
      <c r="L1" s="11" t="inlineStr">
        <is>
          <t>Error %</t>
        </is>
      </c>
      <c r="M1" s="11" t="inlineStr">
        <is>
          <t>Convergencia</t>
        </is>
      </c>
    </row>
    <row r="2">
      <c r="A2" s="12" t="n">
        <v>0</v>
      </c>
      <c r="B2" s="12">
        <f>K2-(((K3-K2)^2)/(K4-2*K3+K2))</f>
        <v/>
      </c>
      <c r="C2" s="12" t="n"/>
      <c r="D2" s="12" t="n"/>
      <c r="E2" s="12" t="n"/>
      <c r="F2" s="12" t="n"/>
      <c r="G2" s="12" t="n"/>
      <c r="H2" s="12" t="n"/>
      <c r="I2" s="12" t="n">
        <v>0</v>
      </c>
      <c r="J2" s="12" t="n">
        <v>1</v>
      </c>
      <c r="K2" s="12">
        <f>(J2+2)/(J2+1)</f>
        <v/>
      </c>
      <c r="L2" s="12" t="n"/>
      <c r="M2" s="12" t="n"/>
    </row>
    <row r="3">
      <c r="A3" s="11" t="n">
        <v>1</v>
      </c>
      <c r="B3" s="11">
        <f>K3-(((K4-K3)^2)/(K5-2*K4+K3))</f>
        <v/>
      </c>
      <c r="C3" s="11">
        <f>ABS((B3-B2)/B3)*100</f>
        <v/>
      </c>
      <c r="D3" s="11">
        <f>IF(C3&lt;0.00001,"SI","NO")</f>
        <v/>
      </c>
      <c r="E3" s="11" t="n"/>
      <c r="F3" s="11" t="n"/>
      <c r="G3" s="11" t="n"/>
      <c r="H3" s="11" t="n"/>
      <c r="I3" s="11" t="n">
        <v>1</v>
      </c>
      <c r="J3" s="11">
        <f>K2</f>
        <v/>
      </c>
      <c r="K3" s="11">
        <f>(J3+2)/(J3+1)</f>
        <v/>
      </c>
      <c r="L3" s="11">
        <f>ABS((K3-J3)/K3)*100</f>
        <v/>
      </c>
      <c r="M3" s="11">
        <f>IF(L3&lt;0.00001,"SI","NO")</f>
        <v/>
      </c>
    </row>
    <row r="4">
      <c r="A4" s="12" t="n">
        <v>2</v>
      </c>
      <c r="B4" s="12">
        <f>K4-(((K5-K4)^2)/(K6-2*K5+K4))</f>
        <v/>
      </c>
      <c r="C4" s="12">
        <f>ABS((B4-B3)/B4)*100</f>
        <v/>
      </c>
      <c r="D4" s="12">
        <f>IF(C4&lt;0.00001,"SI","NO")</f>
        <v/>
      </c>
      <c r="E4" s="12" t="n"/>
      <c r="F4" s="12" t="n"/>
      <c r="G4" s="12" t="n"/>
      <c r="H4" s="12" t="n"/>
      <c r="I4" s="12" t="n">
        <v>2</v>
      </c>
      <c r="J4" s="12">
        <f>K3</f>
        <v/>
      </c>
      <c r="K4" s="12">
        <f>(J4+2)/(J4+1)</f>
        <v/>
      </c>
      <c r="L4" s="12">
        <f>ABS((K4-J4)/K4)*100</f>
        <v/>
      </c>
      <c r="M4" s="12">
        <f>IF(L4&lt;0.00001,"SI","NO")</f>
        <v/>
      </c>
    </row>
    <row r="5">
      <c r="A5" s="11" t="n">
        <v>3</v>
      </c>
      <c r="B5" s="11">
        <f>K5-(((K6-K5)^2)/(K7-2*K6+K5))</f>
        <v/>
      </c>
      <c r="C5" s="11">
        <f>ABS((B5-B4)/B5)*100</f>
        <v/>
      </c>
      <c r="D5" s="11">
        <f>IF(C5&lt;0.00001,"SI","NO")</f>
        <v/>
      </c>
      <c r="E5" s="11" t="n"/>
      <c r="F5" s="11" t="n"/>
      <c r="G5" s="11" t="n"/>
      <c r="H5" s="11" t="n"/>
      <c r="I5" s="11" t="n">
        <v>3</v>
      </c>
      <c r="J5" s="11">
        <f>K4</f>
        <v/>
      </c>
      <c r="K5" s="11">
        <f>(J5+2)/(J5+1)</f>
        <v/>
      </c>
      <c r="L5" s="11">
        <f>ABS((K5-J5)/K5)*100</f>
        <v/>
      </c>
      <c r="M5" s="11">
        <f>IF(L5&lt;0.00001,"SI","NO")</f>
        <v/>
      </c>
    </row>
    <row r="6">
      <c r="A6" s="13" t="inlineStr">
        <is>
          <t xml:space="preserve">                                                                          MÉTODO DE AITKEN (Δ²)  —  f(x) = x² − 2 = 0</t>
        </is>
      </c>
      <c r="B6" s="12" t="n"/>
      <c r="C6" s="12" t="n"/>
      <c r="D6" s="12" t="n"/>
      <c r="E6" s="12" t="n"/>
      <c r="F6" s="12" t="n"/>
      <c r="G6" s="12" t="n"/>
      <c r="H6" s="12" t="n"/>
      <c r="I6" s="12" t="n">
        <v>4</v>
      </c>
      <c r="J6" s="12">
        <f>K5</f>
        <v/>
      </c>
      <c r="K6" s="12">
        <f>(J6+2)/(J6+1)</f>
        <v/>
      </c>
      <c r="L6" s="12">
        <f>ABS((K6-J6)/K6)*100</f>
        <v/>
      </c>
      <c r="M6" s="12">
        <f>IF(L6&lt;0.00001,"SI","NO")</f>
        <v/>
      </c>
    </row>
    <row r="7">
      <c r="A7" s="11" t="inlineStr">
        <is>
          <t>Ecuación:</t>
        </is>
      </c>
      <c r="B7" s="11" t="inlineStr">
        <is>
          <t>f(x) = x² - 2</t>
        </is>
      </c>
      <c r="C7" s="11" t="n"/>
      <c r="D7" s="11" t="inlineStr">
        <is>
          <t>Método base:</t>
        </is>
      </c>
      <c r="E7" s="11" t="inlineStr">
        <is>
          <t>Punto Fijo  g(x) = (x+2)/(x+1)</t>
        </is>
      </c>
      <c r="F7" s="11" t="inlineStr">
        <is>
          <t>Nota:</t>
        </is>
      </c>
      <c r="G7" s="11" t="inlineStr">
        <is>
          <t>Aitken acelera la convergencia de Punto Fijo</t>
        </is>
      </c>
      <c r="H7" s="11" t="n"/>
      <c r="I7" s="11" t="n">
        <v>5</v>
      </c>
      <c r="J7" s="11">
        <f>K6</f>
        <v/>
      </c>
      <c r="K7" s="11">
        <f>(J7+2)/(J7+1)</f>
        <v/>
      </c>
      <c r="L7" s="11">
        <f>ABS((K7-J7)/K7)*100</f>
        <v/>
      </c>
      <c r="M7" s="11">
        <f>IF(L7&lt;0.00001,"SI","NO")</f>
        <v/>
      </c>
    </row>
    <row r="8">
      <c r="A8" s="12" t="inlineStr">
        <is>
          <t>⚠ AITKEN UTILIZA PUNTO FIJO (Método 3) como base. Se aplica la fórmula Δ²: p̂ₖ = pₖ - (pₖ₊₁-pₖ)² / (pₖ₊₂ - 2pₖ₊₁ + pₖ)</t>
        </is>
      </c>
      <c r="B8" s="12" t="n"/>
      <c r="C8" s="12" t="n"/>
      <c r="D8" s="12" t="n"/>
      <c r="E8" s="12" t="n"/>
      <c r="F8" s="12" t="n"/>
      <c r="G8" s="12" t="n"/>
      <c r="H8" s="12" t="n"/>
      <c r="I8" s="12" t="n">
        <v>6</v>
      </c>
      <c r="J8" s="12">
        <f>K7</f>
        <v/>
      </c>
      <c r="K8" s="12">
        <f>(J8+2)/(J8+1)</f>
        <v/>
      </c>
      <c r="L8" s="12">
        <f>ABS((K8-J8)/K8)*100</f>
        <v/>
      </c>
      <c r="M8" s="12">
        <f>IF(L8&lt;0.00001,"SI","NO")</f>
        <v/>
      </c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>
        <v>7</v>
      </c>
      <c r="J9" s="11">
        <f>K8</f>
        <v/>
      </c>
      <c r="K9" s="11">
        <f>(J9+2)/(J9+1)</f>
        <v/>
      </c>
      <c r="L9" s="11">
        <f>ABS((K9-J9)/K9)*100</f>
        <v/>
      </c>
      <c r="M9" s="11">
        <f>IF(L9&lt;0.00001,"SI","NO")</f>
        <v/>
      </c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>
        <v>8</v>
      </c>
      <c r="J10" s="12">
        <f>K9</f>
        <v/>
      </c>
      <c r="K10" s="12">
        <f>(J10+2)/(J10+1)</f>
        <v/>
      </c>
      <c r="L10" s="12">
        <f>ABS((K10-J10)/K10)*100</f>
        <v/>
      </c>
      <c r="M10" s="12">
        <f>IF(L10&lt;0.00001,"SI","NO")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>
        <v>9</v>
      </c>
      <c r="J11" s="11">
        <f>K10</f>
        <v/>
      </c>
      <c r="K11" s="11">
        <f>(J11+2)/(J11+1)</f>
        <v/>
      </c>
      <c r="L11" s="11">
        <f>ABS((K11-J11)/K11)*100</f>
        <v/>
      </c>
      <c r="M11" s="11">
        <f>IF(L11&lt;0.00001,"SI","NO")</f>
        <v/>
      </c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>
        <v>10</v>
      </c>
      <c r="J12" s="12">
        <f>K11</f>
        <v/>
      </c>
      <c r="K12" s="12">
        <f>(J12+2)/(J12+1)</f>
        <v/>
      </c>
      <c r="L12" s="12">
        <f>ABS((K12-J12)/K12)*100</f>
        <v/>
      </c>
      <c r="M12" s="12">
        <f>IF(L12&lt;0.00001,"SI","NO")</f>
        <v/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>
        <v>11</v>
      </c>
      <c r="J13" s="11">
        <f>K12</f>
        <v/>
      </c>
      <c r="K13" s="11">
        <f>(J13+2)/(J13+1)</f>
        <v/>
      </c>
      <c r="L13" s="11">
        <f>ABS((K13-J13)/K13)*100</f>
        <v/>
      </c>
      <c r="M13" s="11">
        <f>IF(L13&lt;0.00001,"SI","NO")</f>
        <v/>
      </c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>
        <v>12</v>
      </c>
      <c r="J14" s="12">
        <f>K13</f>
        <v/>
      </c>
      <c r="K14" s="12">
        <f>(J14+2)/(J14+1)</f>
        <v/>
      </c>
      <c r="L14" s="12">
        <f>ABS((K14-J14)/K14)*100</f>
        <v/>
      </c>
      <c r="M14" s="12">
        <f>IF(L14&lt;0.00001,"SI","NO")</f>
        <v/>
      </c>
    </row>
    <row r="15">
      <c r="I15" s="14" t="inlineStr">
        <is>
          <t xml:space="preserve">                                                                      MÉTODO DE PUNTO FIJO  —  f(x) = x² − 2 = 0</t>
        </is>
      </c>
    </row>
    <row r="16">
      <c r="I16" t="inlineStr">
        <is>
          <t>Ecuación:</t>
        </is>
      </c>
      <c r="J16" t="inlineStr">
        <is>
          <t>f(x) = x² - 2 → x = g(x) = (x + 2)/(x + 1)</t>
        </is>
      </c>
      <c r="L16" t="inlineStr">
        <is>
          <t>g(x):</t>
        </is>
      </c>
      <c r="M16" t="inlineStr">
        <is>
          <t>g(x) = (x + 2) / (x + 1)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k</t>
        </is>
      </c>
      <c r="B1" s="11" t="inlineStr">
        <is>
          <t>xk</t>
        </is>
      </c>
      <c r="C1" s="11" t="inlineStr">
        <is>
          <t>Error %</t>
        </is>
      </c>
      <c r="D1" s="11" t="inlineStr">
        <is>
          <t>Convergencia</t>
        </is>
      </c>
    </row>
    <row r="2">
      <c r="A2" s="4" t="n">
        <v>0</v>
      </c>
      <c r="B2" s="4">
        <f>J8-(((J9-J8)^2)/(J10-2*J9+J8))</f>
        <v/>
      </c>
      <c r="C2" s="4" t="n"/>
      <c r="D2" s="4" t="n"/>
    </row>
    <row r="3">
      <c r="A3" s="15" t="n">
        <v>1</v>
      </c>
      <c r="B3" s="15">
        <f>J9-(((J10-J9)^2)/(J11-2*J10+J9))</f>
        <v/>
      </c>
      <c r="C3" s="15">
        <f>ABS((B3-B2)/B3)*100</f>
        <v/>
      </c>
      <c r="D3" s="15">
        <f>IF(C3&lt;0.00001,"SI","NO")</f>
        <v/>
      </c>
    </row>
    <row r="4">
      <c r="A4" s="14" t="inlineStr">
        <is>
          <t xml:space="preserve">                                                                                MÉTODO DE Steffensen   —  f(x) = x² − 2 = 0</t>
        </is>
      </c>
      <c r="G4" t="inlineStr">
        <is>
          <t>Steffensen acelera la convergencia de Aitken</t>
        </is>
      </c>
    </row>
    <row r="5">
      <c r="A5" t="inlineStr">
        <is>
          <t>Ecuación:</t>
        </is>
      </c>
      <c r="B5" t="inlineStr">
        <is>
          <t>f(x) = x² - 2</t>
        </is>
      </c>
      <c r="D5" t="inlineStr">
        <is>
          <t>Método base:</t>
        </is>
      </c>
      <c r="E5" t="inlineStr">
        <is>
          <t>Aitken</t>
        </is>
      </c>
      <c r="F5" t="inlineStr">
        <is>
          <t>Nota:</t>
        </is>
      </c>
    </row>
    <row r="6">
      <c r="A6" t="inlineStr">
        <is>
          <t>⚠ STEFFENSEN : como base. Se aplica la fórmula Δ²: p̂ₖ = pₖ - [(pₖ₊₁-pₖ)² / (pₖ₊₂ - 2pₖ₊₁ + pₖ)]</t>
        </is>
      </c>
    </row>
    <row r="7">
      <c r="I7" s="11" t="inlineStr">
        <is>
          <t>k</t>
        </is>
      </c>
      <c r="J7" s="11" t="inlineStr">
        <is>
          <t>xk</t>
        </is>
      </c>
      <c r="K7" s="11" t="inlineStr">
        <is>
          <t>Error %</t>
        </is>
      </c>
      <c r="L7" s="11" t="inlineStr">
        <is>
          <t>Convergencia</t>
        </is>
      </c>
    </row>
    <row r="8">
      <c r="I8" s="4" t="n">
        <v>0</v>
      </c>
      <c r="J8" s="4">
        <f>K20-(((K21-K20)^2)/(K22-2*K21+K20))</f>
        <v/>
      </c>
      <c r="K8" s="4" t="n"/>
      <c r="L8" s="4" t="n"/>
    </row>
    <row r="9">
      <c r="I9" s="15" t="n">
        <v>1</v>
      </c>
      <c r="J9" s="15">
        <f>K21-(((K22-K21)^2)/(K23-2*K22+K21))</f>
        <v/>
      </c>
      <c r="K9" s="15">
        <f>ABS((J9-J8)/J9)*100</f>
        <v/>
      </c>
      <c r="L9" s="15">
        <f>IF(K9&lt;0.00001,"SI","NO")</f>
        <v/>
      </c>
    </row>
    <row r="10">
      <c r="I10" s="4" t="n">
        <v>2</v>
      </c>
      <c r="J10" s="4">
        <f>K22-(((K23-K22)^2)/(K24-2*K23+K22))</f>
        <v/>
      </c>
      <c r="K10" s="4">
        <f>ABS((J10-J9)/J10)*100</f>
        <v/>
      </c>
      <c r="L10" s="4">
        <f>IF(K10&lt;0.00001,"SI","NO")</f>
        <v/>
      </c>
    </row>
    <row r="11">
      <c r="I11" s="15" t="n">
        <v>3</v>
      </c>
      <c r="J11" s="15">
        <f>K23-(((K24-K23)^2)/(K25-2*K24+K23))</f>
        <v/>
      </c>
      <c r="K11" s="15">
        <f>ABS((J11-J10)/J11)*100</f>
        <v/>
      </c>
      <c r="L11" s="15">
        <f>IF(K11&lt;0.00001,"SI","NO")</f>
        <v/>
      </c>
    </row>
    <row r="12">
      <c r="I12" s="14" t="inlineStr">
        <is>
          <t xml:space="preserve">                                                                                                                   MÉTODO DE AITKEN (Δ²)  —  f(x) = x² − 2 = 0</t>
        </is>
      </c>
    </row>
    <row r="13">
      <c r="I13" t="inlineStr">
        <is>
          <t>Ecuación:</t>
        </is>
      </c>
      <c r="J13" t="inlineStr">
        <is>
          <t>f(x) = x² - 2</t>
        </is>
      </c>
      <c r="L13" t="inlineStr">
        <is>
          <t>Método base:</t>
        </is>
      </c>
      <c r="M13" t="inlineStr">
        <is>
          <t>Punto Fijo  g(x) = (x+2)/(x+1)</t>
        </is>
      </c>
      <c r="N13" t="inlineStr">
        <is>
          <t>Nota:</t>
        </is>
      </c>
      <c r="O13" t="inlineStr">
        <is>
          <t>Aitken acelera la convergencia de Punto Fijo</t>
        </is>
      </c>
    </row>
    <row r="14">
      <c r="I14" t="inlineStr">
        <is>
          <t>⚠ AITKEN UTILIZA PUNTO FIJO (Método 3) como base. Se aplica la fórmula Δ²: p̂ₖ = pₖ - [(pₖ₊₁-pₖ)² / (pₖ₊₂ - 2pₖ₊₁ + pₖ)]</t>
        </is>
      </c>
    </row>
    <row r="15">
      <c r="I15" t="inlineStr">
        <is>
          <t xml:space="preserve"> </t>
        </is>
      </c>
    </row>
    <row r="17">
      <c r="I17" s="14" t="inlineStr">
        <is>
          <t xml:space="preserve">                                                                                                        MÉTODO DE PUNTO FIJO  —  f(x) = x² − 2 = 0</t>
        </is>
      </c>
    </row>
    <row r="18">
      <c r="I18" t="inlineStr">
        <is>
          <t>Ecuación:</t>
        </is>
      </c>
      <c r="J18" t="inlineStr">
        <is>
          <t>f(x) = x² - 2 → x = g(x) = (x + 2)/(x + 1)</t>
        </is>
      </c>
      <c r="L18" t="inlineStr">
        <is>
          <t>g(x):</t>
        </is>
      </c>
      <c r="M18" t="inlineStr">
        <is>
          <t>g(x) = (x + 2) / (x + 1)</t>
        </is>
      </c>
    </row>
    <row r="19">
      <c r="I19" s="11" t="inlineStr">
        <is>
          <t>k</t>
        </is>
      </c>
      <c r="J19" s="11" t="inlineStr">
        <is>
          <t>xₖ</t>
        </is>
      </c>
      <c r="K19" s="11" t="inlineStr">
        <is>
          <t>g(xₖ)</t>
        </is>
      </c>
      <c r="L19" s="11" t="inlineStr">
        <is>
          <t>Error %</t>
        </is>
      </c>
      <c r="M19" s="11" t="inlineStr">
        <is>
          <t>Convergencia</t>
        </is>
      </c>
    </row>
    <row r="20">
      <c r="I20" t="n">
        <v>0</v>
      </c>
      <c r="J20" t="n">
        <v>1</v>
      </c>
      <c r="K20">
        <f>(J20+2)/(J20+1)</f>
        <v/>
      </c>
    </row>
    <row r="21">
      <c r="I21" t="n">
        <v>1</v>
      </c>
      <c r="J21">
        <f>K20</f>
        <v/>
      </c>
      <c r="K21">
        <f>(J21+2)/(J21+1)</f>
        <v/>
      </c>
      <c r="L21">
        <f>ABS((K21-J21)/K21)*100</f>
        <v/>
      </c>
      <c r="M21">
        <f>IF(L21&lt;0.00001,"SI","NO")</f>
        <v/>
      </c>
    </row>
    <row r="22">
      <c r="I22" t="n">
        <v>2</v>
      </c>
      <c r="J22">
        <f>K21</f>
        <v/>
      </c>
      <c r="K22">
        <f>(J22+2)/(J22+1)</f>
        <v/>
      </c>
      <c r="L22">
        <f>ABS((K22-J22)/K22)*100</f>
        <v/>
      </c>
      <c r="M22">
        <f>IF(L22&lt;0.00001,"SI","NO")</f>
        <v/>
      </c>
    </row>
    <row r="23">
      <c r="I23" t="n">
        <v>3</v>
      </c>
      <c r="J23">
        <f>K22</f>
        <v/>
      </c>
      <c r="K23">
        <f>(J23+2)/(J23+1)</f>
        <v/>
      </c>
      <c r="L23">
        <f>ABS((K23-J23)/K23)*100</f>
        <v/>
      </c>
      <c r="M23">
        <f>IF(L23&lt;0.00001,"SI","NO")</f>
        <v/>
      </c>
    </row>
    <row r="24">
      <c r="I24" t="n">
        <v>4</v>
      </c>
      <c r="J24">
        <f>K23</f>
        <v/>
      </c>
      <c r="K24">
        <f>(J24+2)/(J24+1)</f>
        <v/>
      </c>
      <c r="L24">
        <f>ABS((K24-J24)/K24)*100</f>
        <v/>
      </c>
      <c r="M24">
        <f>IF(L24&lt;0.00001,"SI","NO")</f>
        <v/>
      </c>
    </row>
    <row r="25">
      <c r="I25" t="n">
        <v>5</v>
      </c>
      <c r="J25">
        <f>K24</f>
        <v/>
      </c>
      <c r="K25">
        <f>(J25+2)/(J25+1)</f>
        <v/>
      </c>
      <c r="L25">
        <f>ABS((K25-J25)/K25)*100</f>
        <v/>
      </c>
      <c r="M25">
        <f>IF(L25&lt;0.00001,"SI","NO")</f>
        <v/>
      </c>
    </row>
    <row r="26">
      <c r="I26" t="n">
        <v>6</v>
      </c>
      <c r="J26">
        <f>K25</f>
        <v/>
      </c>
      <c r="K26">
        <f>(J26+2)/(J26+1)</f>
        <v/>
      </c>
      <c r="L26">
        <f>ABS((K26-J26)/K26)*100</f>
        <v/>
      </c>
      <c r="M26">
        <f>IF(L26&lt;0.00001,"SI","NO")</f>
        <v/>
      </c>
    </row>
    <row r="27">
      <c r="I27" t="n">
        <v>7</v>
      </c>
      <c r="J27">
        <f>K26</f>
        <v/>
      </c>
      <c r="K27">
        <f>(J27+2)/(J27+1)</f>
        <v/>
      </c>
      <c r="L27">
        <f>ABS((K27-J27)/K27)*100</f>
        <v/>
      </c>
      <c r="M27">
        <f>IF(L27&lt;0.00001,"SI","NO")</f>
        <v/>
      </c>
    </row>
    <row r="28">
      <c r="I28" t="n">
        <v>8</v>
      </c>
      <c r="J28">
        <f>K27</f>
        <v/>
      </c>
      <c r="K28">
        <f>(J28+2)/(J28+1)</f>
        <v/>
      </c>
      <c r="L28">
        <f>ABS((K28-J28)/K28)*100</f>
        <v/>
      </c>
      <c r="M28">
        <f>IF(L28&lt;0.00001,"SI","NO")</f>
        <v/>
      </c>
    </row>
    <row r="29">
      <c r="I29" t="n">
        <v>9</v>
      </c>
      <c r="J29">
        <f>K28</f>
        <v/>
      </c>
      <c r="K29">
        <f>(J29+2)/(J29+1)</f>
        <v/>
      </c>
      <c r="L29">
        <f>ABS((K29-J29)/K29)*100</f>
        <v/>
      </c>
      <c r="M29">
        <f>IF(L29&lt;0.00001,"SI","NO")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k</t>
        </is>
      </c>
      <c r="B1" s="16" t="inlineStr">
        <is>
          <t>xₖ</t>
        </is>
      </c>
      <c r="C1" s="16" t="inlineStr">
        <is>
          <t>f(xₖ)</t>
        </is>
      </c>
      <c r="D1" s="16" t="inlineStr">
        <is>
          <t>f'(xₖ)</t>
        </is>
      </c>
      <c r="E1" s="16" t="inlineStr">
        <is>
          <t>xₖ₊₁</t>
        </is>
      </c>
      <c r="F1" s="16" t="inlineStr">
        <is>
          <t>Error %</t>
        </is>
      </c>
      <c r="G1" s="16" t="inlineStr">
        <is>
          <t>Convergencia</t>
        </is>
      </c>
    </row>
    <row r="2">
      <c r="A2" s="17" t="n">
        <v>0</v>
      </c>
      <c r="B2" s="17" t="n">
        <v>1</v>
      </c>
      <c r="C2" s="17">
        <f>B2^2-2</f>
        <v/>
      </c>
      <c r="D2" s="17">
        <f>2*B2</f>
        <v/>
      </c>
      <c r="E2" s="17">
        <f>B2-(C2/D2)</f>
        <v/>
      </c>
      <c r="F2" s="17" t="n"/>
      <c r="G2" s="17" t="n"/>
    </row>
    <row r="3">
      <c r="A3" s="16" t="n">
        <v>1</v>
      </c>
      <c r="B3" s="16">
        <f>E2</f>
        <v/>
      </c>
      <c r="C3" s="16">
        <f>B3^2-2</f>
        <v/>
      </c>
      <c r="D3" s="16">
        <f>2*B3</f>
        <v/>
      </c>
      <c r="E3" s="16">
        <f>B3-(C3/D3)</f>
        <v/>
      </c>
      <c r="F3" s="16">
        <f>ABS((E3-B3)/E3)*100</f>
        <v/>
      </c>
      <c r="G3" s="16">
        <f>IF(F3&lt;0.00001,"SI","NO")</f>
        <v/>
      </c>
    </row>
    <row r="4">
      <c r="A4" s="17" t="n">
        <v>2</v>
      </c>
      <c r="B4" s="17">
        <f>E3</f>
        <v/>
      </c>
      <c r="C4" s="17">
        <f>B4^2-2</f>
        <v/>
      </c>
      <c r="D4" s="17">
        <f>2*B4</f>
        <v/>
      </c>
      <c r="E4" s="17">
        <f>B4-(C4/D4)</f>
        <v/>
      </c>
      <c r="F4" s="17">
        <f>ABS((E4-B4)/E4)*100</f>
        <v/>
      </c>
      <c r="G4" s="17">
        <f>IF(F4&lt;0.00001,"SI","NO")</f>
        <v/>
      </c>
    </row>
    <row r="5">
      <c r="A5" s="16" t="n">
        <v>3</v>
      </c>
      <c r="B5" s="16">
        <f>E4</f>
        <v/>
      </c>
      <c r="C5" s="16">
        <f>B5^2-2</f>
        <v/>
      </c>
      <c r="D5" s="16">
        <f>2*B5</f>
        <v/>
      </c>
      <c r="E5" s="16">
        <f>B5-(C5/D5)</f>
        <v/>
      </c>
      <c r="F5" s="16">
        <f>ABS((E5-B5)/E5)*100</f>
        <v/>
      </c>
      <c r="G5" s="16">
        <f>IF(F5&lt;0.00001,"SI","NO")</f>
        <v/>
      </c>
    </row>
    <row r="6">
      <c r="A6" s="17" t="n">
        <v>4</v>
      </c>
      <c r="B6" s="17">
        <f>E5</f>
        <v/>
      </c>
      <c r="C6" s="17">
        <f>B6^2-2</f>
        <v/>
      </c>
      <c r="D6" s="17">
        <f>2*B6</f>
        <v/>
      </c>
      <c r="E6" s="17">
        <f>B6-(C6/D6)</f>
        <v/>
      </c>
      <c r="F6" s="17">
        <f>ABS((E6-B6)/E6)*100</f>
        <v/>
      </c>
      <c r="G6" s="17">
        <f>IF(F6&lt;0.00001,"SI","NO")</f>
        <v/>
      </c>
    </row>
    <row r="7">
      <c r="A7" s="18" t="inlineStr">
        <is>
          <t>MÉTODO DE NEWTON-RAPHSON  —  f(x) = x² − 2 = 0</t>
        </is>
      </c>
    </row>
    <row r="8">
      <c r="A8" s="4" t="inlineStr">
        <is>
          <t>Ecuación:</t>
        </is>
      </c>
      <c r="B8" s="4" t="inlineStr">
        <is>
          <t>f(x) = x² - 2,  f'(x) = 2x</t>
        </is>
      </c>
      <c r="C8" s="4" t="n"/>
      <c r="D8" s="4" t="inlineStr">
        <is>
          <t>Fórmula:</t>
        </is>
      </c>
      <c r="E8" s="4" t="inlineStr">
        <is>
          <t>xₙ₊₁ = xₙ − f(xₙ)/f'(xₙ)</t>
        </is>
      </c>
      <c r="F8" s="4" t="n"/>
      <c r="G8" s="4" t="n"/>
    </row>
  </sheetData>
  <mergeCells count="1">
    <mergeCell ref="A7:G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k</t>
        </is>
      </c>
      <c r="B1" s="19" t="inlineStr">
        <is>
          <t>xₖ</t>
        </is>
      </c>
      <c r="C1" s="19" t="inlineStr">
        <is>
          <t>f(xₖ)</t>
        </is>
      </c>
      <c r="D1" s="19" t="inlineStr">
        <is>
          <t>f'(xₖ)</t>
        </is>
      </c>
      <c r="E1" s="19" t="inlineStr">
        <is>
          <t>f''(xₖ)</t>
        </is>
      </c>
      <c r="F1" s="19" t="inlineStr">
        <is>
          <t>xₖ₊₁</t>
        </is>
      </c>
      <c r="G1" s="19" t="inlineStr">
        <is>
          <t>Error %</t>
        </is>
      </c>
      <c r="H1" s="19" t="inlineStr">
        <is>
          <t>Convergencia</t>
        </is>
      </c>
    </row>
    <row r="2">
      <c r="A2" s="20" t="n">
        <v>0</v>
      </c>
      <c r="B2" s="20" t="n">
        <v>1</v>
      </c>
      <c r="C2" s="20">
        <f>B2^2-2</f>
        <v/>
      </c>
      <c r="D2" s="20">
        <f>2*(B2)</f>
        <v/>
      </c>
      <c r="E2" s="20">
        <f>$B$9</f>
        <v/>
      </c>
      <c r="F2" s="20">
        <f>B2-((C2*D2)/(D2^2-C2*E2))</f>
        <v/>
      </c>
      <c r="G2" s="20">
        <f>ABS((F2-B2)/F2)*100</f>
        <v/>
      </c>
      <c r="H2" s="20">
        <f>IF(G2&lt;0.00001,"SI","NO")</f>
        <v/>
      </c>
    </row>
    <row r="3">
      <c r="A3" s="21" t="n">
        <v>1</v>
      </c>
      <c r="B3" s="21">
        <f>F2</f>
        <v/>
      </c>
      <c r="C3" s="21">
        <f>B3^2-2</f>
        <v/>
      </c>
      <c r="D3" s="21">
        <f>2*(B3)</f>
        <v/>
      </c>
      <c r="E3" s="21">
        <f>$B$9</f>
        <v/>
      </c>
      <c r="F3" s="21">
        <f>B3-((C3*D3)/(D3^2-C3*E3))</f>
        <v/>
      </c>
      <c r="G3" s="21">
        <f>ABS((F3-B3)/F3)*100</f>
        <v/>
      </c>
      <c r="H3" s="21">
        <f>IF(G3&lt;0.00001,"SI","NO")</f>
        <v/>
      </c>
    </row>
    <row r="4">
      <c r="A4" s="20" t="n">
        <v>2</v>
      </c>
      <c r="B4" s="20">
        <f>F3</f>
        <v/>
      </c>
      <c r="C4" s="20">
        <f>B4^2-2</f>
        <v/>
      </c>
      <c r="D4" s="20">
        <f>2*(B4)</f>
        <v/>
      </c>
      <c r="E4" s="20">
        <f>$B$9</f>
        <v/>
      </c>
      <c r="F4" s="20">
        <f>B4-((C4*D4)/(D4^2-C4*E4))</f>
        <v/>
      </c>
      <c r="G4" s="20">
        <f>ABS((F4-B4)/F4)*100</f>
        <v/>
      </c>
      <c r="H4" s="20">
        <f>IF(G4&lt;0.00001,"SI","NO")</f>
        <v/>
      </c>
    </row>
    <row r="5">
      <c r="A5" s="21" t="n">
        <v>3</v>
      </c>
      <c r="B5" s="21">
        <f>F4</f>
        <v/>
      </c>
      <c r="C5" s="21">
        <f>B5^2-2</f>
        <v/>
      </c>
      <c r="D5" s="21">
        <f>2*(B5)</f>
        <v/>
      </c>
      <c r="E5" s="21">
        <f>$B$9</f>
        <v/>
      </c>
      <c r="F5" s="21">
        <f>B5-((C5*D5)/(D5^2-C5*E5))</f>
        <v/>
      </c>
      <c r="G5" s="21">
        <f>ABS((F5-B5)/F5)*100</f>
        <v/>
      </c>
      <c r="H5" s="21">
        <f>IF(G5&lt;0.00001,"SI","NO")</f>
        <v/>
      </c>
    </row>
    <row r="6">
      <c r="A6" s="20" t="n">
        <v>4</v>
      </c>
      <c r="B6" s="20">
        <f>F5</f>
        <v/>
      </c>
      <c r="C6" s="20">
        <f>B6^2-2</f>
        <v/>
      </c>
      <c r="D6" s="20">
        <f>2*(B6)</f>
        <v/>
      </c>
      <c r="E6" s="20">
        <f>$B$9</f>
        <v/>
      </c>
      <c r="F6" s="20">
        <f>B6-((C6*D6)/(D6^2-C6*E6))</f>
        <v/>
      </c>
      <c r="G6" s="20">
        <f>ABS((F6-B6)/F6)*100</f>
        <v/>
      </c>
      <c r="H6" s="20">
        <f>IF(G6&lt;0.00001,"SI","NO")</f>
        <v/>
      </c>
    </row>
    <row r="7">
      <c r="A7" s="22" t="inlineStr">
        <is>
          <t>MÉTODO DE NEWTON MODIFICADO  —  f(x) = x² − 2 = 0</t>
        </is>
      </c>
    </row>
    <row r="8">
      <c r="A8" s="4" t="inlineStr">
        <is>
          <t>Ecuación:</t>
        </is>
      </c>
      <c r="B8" s="4" t="inlineStr">
        <is>
          <t>f(x) = x² - 2,  f'(x) = 2x</t>
        </is>
      </c>
      <c r="C8" s="4" t="n"/>
      <c r="D8" s="4" t="inlineStr">
        <is>
          <t>Fórmula:</t>
        </is>
      </c>
      <c r="E8" s="4" t="inlineStr">
        <is>
          <t>xₙ₊₁ = xₙ - [(f(xₙ)·f'(xₙ))/((f'(xₙ))² - f(xₙ)·f''(xₙ))]</t>
        </is>
      </c>
      <c r="F8" s="4" t="n"/>
      <c r="G8" s="4" t="n"/>
      <c r="H8" s="4" t="n"/>
    </row>
    <row r="9">
      <c r="A9" t="inlineStr">
        <is>
          <t>f''</t>
        </is>
      </c>
      <c r="B9">
        <f>2*1</f>
        <v/>
      </c>
    </row>
  </sheetData>
  <mergeCells count="1">
    <mergeCell ref="A7:G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k</t>
        </is>
      </c>
      <c r="B1" s="5" t="inlineStr">
        <is>
          <t>xₖ</t>
        </is>
      </c>
      <c r="C1" s="5" t="inlineStr">
        <is>
          <t>f(xₖ)</t>
        </is>
      </c>
      <c r="D1" s="5" t="inlineStr">
        <is>
          <t>f'(xₖ)</t>
        </is>
      </c>
      <c r="E1" s="5" t="inlineStr">
        <is>
          <t>f''(xₖ)</t>
        </is>
      </c>
      <c r="F1" s="5" t="inlineStr">
        <is>
          <t>xₖ₊₁</t>
        </is>
      </c>
      <c r="G1" s="5" t="inlineStr">
        <is>
          <t>Error %</t>
        </is>
      </c>
      <c r="H1" s="5" t="inlineStr">
        <is>
          <t>Convergencia</t>
        </is>
      </c>
    </row>
    <row r="2">
      <c r="A2" s="6" t="n">
        <v>0</v>
      </c>
      <c r="B2" s="6" t="n">
        <v>1</v>
      </c>
      <c r="C2" s="6">
        <f>B2^2-2</f>
        <v/>
      </c>
      <c r="D2" s="6">
        <f>2*B2</f>
        <v/>
      </c>
      <c r="E2" s="6" t="n">
        <v>2</v>
      </c>
      <c r="F2" s="6">
        <f>B2+((-D2+((D2)^2-2*E2*C2)^(1/2))/E2)</f>
        <v/>
      </c>
      <c r="G2" s="6">
        <f>ABS((F2-B2)/F2)*100</f>
        <v/>
      </c>
      <c r="H2" s="6">
        <f>IF(G2&lt;0.00001,"SI","NO")</f>
        <v/>
      </c>
    </row>
    <row r="3">
      <c r="A3" s="5" t="n">
        <v>1</v>
      </c>
      <c r="B3" s="5">
        <f>F2</f>
        <v/>
      </c>
      <c r="C3" s="5">
        <f>B3^2-2</f>
        <v/>
      </c>
      <c r="D3" s="5">
        <f>2*B3</f>
        <v/>
      </c>
      <c r="E3" s="5" t="n">
        <v>2</v>
      </c>
      <c r="F3" s="5">
        <f>B3+((-D3+((D3)^2-2*E3*C3)^(1/2))/E3)</f>
        <v/>
      </c>
      <c r="G3" s="5">
        <f>ABS((F3-B3)/F3)*100</f>
        <v/>
      </c>
      <c r="H3" s="5">
        <f>IF(G3&lt;0.00001,"SI","NO")</f>
        <v/>
      </c>
    </row>
    <row r="4">
      <c r="A4" s="23" t="inlineStr">
        <is>
          <t>MÉTODO DE NEWTON 2do ORDEN  —  f(x) = x² − 2 = 0</t>
        </is>
      </c>
    </row>
    <row r="5">
      <c r="A5" s="4" t="inlineStr">
        <is>
          <t>Ecuación:</t>
        </is>
      </c>
      <c r="B5" s="4" t="inlineStr">
        <is>
          <t>f(x) = x² - 2,  f'(x) = 2x,  f''(x) = 2</t>
        </is>
      </c>
      <c r="C5" s="4" t="n"/>
      <c r="D5" s="4" t="n"/>
      <c r="E5" s="4" t="inlineStr">
        <is>
          <t>Fórmula:</t>
        </is>
      </c>
      <c r="F5" s="4" t="inlineStr">
        <is>
          <t>x_{n+1} = x_n + (-f'(x_n) + sqrt((f'(x_n))^2 - 2*f''(x_n)*f(x_n))) / f''(x_n)</t>
        </is>
      </c>
      <c r="G5" s="4" t="n"/>
      <c r="H5" s="4" t="n"/>
    </row>
  </sheetData>
  <mergeCells count="1">
    <mergeCell ref="A4:H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k</t>
        </is>
      </c>
      <c r="B1" s="24" t="inlineStr">
        <is>
          <t>xₖ</t>
        </is>
      </c>
      <c r="C1" s="24" t="inlineStr">
        <is>
          <t>f(xₖ)</t>
        </is>
      </c>
      <c r="D1" s="24" t="inlineStr">
        <is>
          <t>f'(xₖ)</t>
        </is>
      </c>
      <c r="E1" s="24" t="inlineStr">
        <is>
          <t>f''(xₖ)</t>
        </is>
      </c>
      <c r="F1" s="24" t="inlineStr">
        <is>
          <t>xₖ₊₁</t>
        </is>
      </c>
      <c r="G1" s="24" t="inlineStr">
        <is>
          <t>Error %</t>
        </is>
      </c>
      <c r="H1" s="24" t="inlineStr">
        <is>
          <t>Convergencia</t>
        </is>
      </c>
    </row>
    <row r="2">
      <c r="A2" s="4" t="n">
        <v>0</v>
      </c>
      <c r="B2" s="4" t="n">
        <v>1</v>
      </c>
      <c r="C2" s="4">
        <f>B2^2-2</f>
        <v/>
      </c>
      <c r="D2" s="4">
        <f>2*B2</f>
        <v/>
      </c>
      <c r="E2" s="4">
        <f>$B$8</f>
        <v/>
      </c>
      <c r="F2" s="4">
        <f>B2-(C2/D2)-(((C2^2)*(E2))/(2*(D2)^3))</f>
        <v/>
      </c>
      <c r="G2" s="4">
        <f>ABS((F2-B2)/F2)*100</f>
        <v/>
      </c>
      <c r="H2" s="4">
        <f>IF(G2&lt;0.00001,"SI","NO")</f>
        <v/>
      </c>
    </row>
    <row r="3">
      <c r="A3" s="4" t="n">
        <v>1</v>
      </c>
      <c r="B3" s="4">
        <f>F2</f>
        <v/>
      </c>
      <c r="C3" s="4">
        <f>B3^2-2</f>
        <v/>
      </c>
      <c r="D3" s="4">
        <f>2*B3</f>
        <v/>
      </c>
      <c r="E3" s="4">
        <f>$B$8</f>
        <v/>
      </c>
      <c r="F3" s="4">
        <f>B3-(C3/D3)-(((C3^2)*(E3))/(2*(D3)^3))</f>
        <v/>
      </c>
      <c r="G3" s="4">
        <f>ABS((F3-B3)/F3)*100</f>
        <v/>
      </c>
      <c r="H3" s="4">
        <f>IF(G3&lt;0.00001,"SI","NO")</f>
        <v/>
      </c>
    </row>
    <row r="4">
      <c r="A4" s="4" t="n">
        <v>2</v>
      </c>
      <c r="B4" s="4">
        <f>F3</f>
        <v/>
      </c>
      <c r="C4" s="4">
        <f>B4^2-2</f>
        <v/>
      </c>
      <c r="D4" s="4">
        <f>2*B4</f>
        <v/>
      </c>
      <c r="E4" s="4">
        <f>$B$8</f>
        <v/>
      </c>
      <c r="F4" s="4">
        <f>B4-(C4/D4)-(((C4^2)*(E4))/(2*(D4)^3))</f>
        <v/>
      </c>
      <c r="G4" s="4">
        <f>ABS((F4-B4)/F4)*100</f>
        <v/>
      </c>
      <c r="H4" s="4">
        <f>IF(G4&lt;0.00001,"SI","NO")</f>
        <v/>
      </c>
    </row>
    <row r="5">
      <c r="A5" s="4" t="n">
        <v>3</v>
      </c>
      <c r="B5" s="4">
        <f>F4</f>
        <v/>
      </c>
      <c r="C5" s="4">
        <f>B5^2-2</f>
        <v/>
      </c>
      <c r="D5" s="4">
        <f>2*B5</f>
        <v/>
      </c>
      <c r="E5" s="4">
        <f>$B$8</f>
        <v/>
      </c>
      <c r="F5" s="4">
        <f>B5-(C5/D5)-(((C5^2)*(E5))/(2*(D5)^3))</f>
        <v/>
      </c>
      <c r="G5" s="4">
        <f>ABS((F5-B5)/F5)*100</f>
        <v/>
      </c>
      <c r="H5" s="4">
        <f>IF(G5&lt;0.00001,"SI","NO")</f>
        <v/>
      </c>
    </row>
    <row r="6">
      <c r="A6" s="25" t="inlineStr">
        <is>
          <t>MÉTODO DE CHEBYSHEV  —  f(x) = x² − 2 = 0</t>
        </is>
      </c>
    </row>
    <row r="7">
      <c r="A7" s="4" t="inlineStr">
        <is>
          <t>Ecuación:</t>
        </is>
      </c>
      <c r="B7" s="4" t="inlineStr">
        <is>
          <t>f(x) = x² - 2,  f'(x) = 2x,  f''(x) = 2</t>
        </is>
      </c>
      <c r="C7" s="4" t="n"/>
      <c r="D7" s="4" t="n"/>
      <c r="E7" s="4" t="inlineStr">
        <is>
          <t>Fórmula:</t>
        </is>
      </c>
      <c r="F7" s="4" t="inlineStr">
        <is>
          <t>xₙ₊₁ = xₙ − (f(xₙ) / f′(xₙ)) − [ (f(xₙ))² · f″(xₙ) ] / [ 2 · (f′(xₙ))³ ]</t>
        </is>
      </c>
      <c r="G7" s="4" t="n"/>
      <c r="H7" s="4" t="n"/>
    </row>
    <row r="8">
      <c r="A8" t="inlineStr">
        <is>
          <t>f''(x)</t>
        </is>
      </c>
      <c r="B8" t="n">
        <v>2</v>
      </c>
    </row>
  </sheetData>
  <mergeCells count="1">
    <mergeCell ref="A6:H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k</t>
        </is>
      </c>
      <c r="B1" s="26" t="inlineStr">
        <is>
          <t>xₖ</t>
        </is>
      </c>
      <c r="C1" s="26" t="inlineStr">
        <is>
          <t>f(xₖ)</t>
        </is>
      </c>
      <c r="D1" s="26" t="inlineStr">
        <is>
          <t>f'(xₖ)</t>
        </is>
      </c>
      <c r="E1" s="26" t="inlineStr">
        <is>
          <t>f''(xₖ)</t>
        </is>
      </c>
      <c r="F1" s="26" t="inlineStr">
        <is>
          <t>xₖ₊₁</t>
        </is>
      </c>
      <c r="G1" s="26" t="inlineStr">
        <is>
          <t>Error %</t>
        </is>
      </c>
      <c r="H1" s="26" t="inlineStr">
        <is>
          <t>Convergencia</t>
        </is>
      </c>
    </row>
    <row r="2">
      <c r="A2" s="27" t="n">
        <v>0</v>
      </c>
      <c r="B2" s="27" t="n">
        <v>1</v>
      </c>
      <c r="C2" s="27">
        <f>B2^2-2</f>
        <v/>
      </c>
      <c r="D2" s="27">
        <f>2*B2</f>
        <v/>
      </c>
      <c r="E2" s="27">
        <f>$B$8</f>
        <v/>
      </c>
      <c r="F2" s="27">
        <f>B2-(C2/(D2-(E2*C2)/(2*D2)))</f>
        <v/>
      </c>
      <c r="G2" s="27">
        <f>ABS((F2-B2)/F2)*100</f>
        <v/>
      </c>
      <c r="H2" s="27">
        <f>IF(G2&lt;0.00001,"SI","NO")</f>
        <v/>
      </c>
    </row>
    <row r="3">
      <c r="A3" s="26" t="n">
        <v>1</v>
      </c>
      <c r="B3" s="26">
        <f>F2</f>
        <v/>
      </c>
      <c r="C3" s="26">
        <f>B3^2-2</f>
        <v/>
      </c>
      <c r="D3" s="26">
        <f>2*B3</f>
        <v/>
      </c>
      <c r="E3" s="26">
        <f>$B$8</f>
        <v/>
      </c>
      <c r="F3" s="26">
        <f>B3-(C3/(D3-(E3*C3)/(2*D3)))</f>
        <v/>
      </c>
      <c r="G3" s="26">
        <f>ABS((F3-B3)/F3)*100</f>
        <v/>
      </c>
      <c r="H3" s="26">
        <f>IF(G3&lt;0.00001,"SI","NO")</f>
        <v/>
      </c>
    </row>
    <row r="4">
      <c r="A4" s="27" t="n">
        <v>2</v>
      </c>
      <c r="B4" s="27">
        <f>F3</f>
        <v/>
      </c>
      <c r="C4" s="27">
        <f>B4^2-2</f>
        <v/>
      </c>
      <c r="D4" s="27">
        <f>2*B4</f>
        <v/>
      </c>
      <c r="E4" s="27">
        <f>$B$8</f>
        <v/>
      </c>
      <c r="F4" s="27">
        <f>B4-(C4/(D4-(E4*C4)/(2*D4)))</f>
        <v/>
      </c>
      <c r="G4" s="27">
        <f>ABS((F4-B4)/F4)*100</f>
        <v/>
      </c>
      <c r="H4" s="27">
        <f>IF(G4&lt;0.00001,"SI","NO")</f>
        <v/>
      </c>
    </row>
    <row r="5">
      <c r="A5" s="26" t="n">
        <v>3</v>
      </c>
      <c r="B5" s="26">
        <f>F4</f>
        <v/>
      </c>
      <c r="C5" s="26">
        <f>B5^2-2</f>
        <v/>
      </c>
      <c r="D5" s="26">
        <f>2*B5</f>
        <v/>
      </c>
      <c r="E5" s="26">
        <f>$B$8</f>
        <v/>
      </c>
      <c r="F5" s="26">
        <f>B5-(C5/(D5-(E5*C5)/(2*D5)))</f>
        <v/>
      </c>
      <c r="G5" s="26">
        <f>ABS((F5-B5)/F5)*100</f>
        <v/>
      </c>
      <c r="H5" s="26">
        <f>IF(G5&lt;0.00001,"SI","NO")</f>
        <v/>
      </c>
    </row>
    <row r="6">
      <c r="A6" s="28" t="inlineStr">
        <is>
          <t>MÉTODO DE HALLEY  —  f(x) = x² − 2 = 0</t>
        </is>
      </c>
    </row>
    <row r="7">
      <c r="A7" s="4" t="inlineStr">
        <is>
          <t>Ecuación:</t>
        </is>
      </c>
      <c r="B7" s="4" t="inlineStr">
        <is>
          <t>f(x) = x² - 2,  f'(x) = 2x,  f''(x) = 2</t>
        </is>
      </c>
      <c r="C7" s="4" t="n"/>
      <c r="D7" s="4" t="n"/>
      <c r="E7" s="4" t="inlineStr">
        <is>
          <t>Fórmula:</t>
        </is>
      </c>
      <c r="F7" s="4" t="inlineStr">
        <is>
          <t>xₙ₊₁ = xₙ − f / [f' − (f''·f)/(2·f')]</t>
        </is>
      </c>
      <c r="G7" s="4" t="n"/>
      <c r="H7" s="4" t="n"/>
    </row>
    <row r="8">
      <c r="A8" t="inlineStr">
        <is>
          <t>f''(x)</t>
        </is>
      </c>
      <c r="B8" t="n">
        <v>2</v>
      </c>
    </row>
  </sheetData>
  <mergeCells count="1">
    <mergeCell ref="A6:H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k</t>
        </is>
      </c>
      <c r="B1" s="20" t="inlineStr">
        <is>
          <t>xₖ</t>
        </is>
      </c>
      <c r="C1" s="20" t="inlineStr">
        <is>
          <t>f(xₖ)</t>
        </is>
      </c>
      <c r="D1" s="20" t="inlineStr">
        <is>
          <t>f'(xₖ)</t>
        </is>
      </c>
      <c r="E1" s="20" t="inlineStr">
        <is>
          <t>f''(xₖ)</t>
        </is>
      </c>
      <c r="F1" s="20" t="inlineStr">
        <is>
          <t>xₖ₊₁</t>
        </is>
      </c>
      <c r="G1" s="20" t="inlineStr">
        <is>
          <t>Error %</t>
        </is>
      </c>
      <c r="H1" s="20" t="inlineStr">
        <is>
          <t>Convergencia</t>
        </is>
      </c>
    </row>
    <row r="2">
      <c r="A2" s="29" t="n">
        <v>0</v>
      </c>
      <c r="B2" s="29" t="n">
        <v>1</v>
      </c>
      <c r="C2" s="29">
        <f>B2^2-2</f>
        <v/>
      </c>
      <c r="D2" s="29">
        <f>2*B2</f>
        <v/>
      </c>
      <c r="E2" s="29">
        <f>$B$7</f>
        <v/>
      </c>
      <c r="F2" s="29">
        <f>B2-(2*(D2^2)-C2*E2)/(2*((D2^2)-C2*E2))*((C2)/(D2))</f>
        <v/>
      </c>
      <c r="G2" s="29">
        <f>ABS((F2-B2)/F2)*100</f>
        <v/>
      </c>
      <c r="H2" s="29">
        <f>IF(G2&lt;0.00001,"SI","NO")</f>
        <v/>
      </c>
    </row>
    <row r="3">
      <c r="A3" s="20" t="n">
        <v>1</v>
      </c>
      <c r="B3" s="20">
        <f>F2</f>
        <v/>
      </c>
      <c r="C3" s="20">
        <f>B3^2-2</f>
        <v/>
      </c>
      <c r="D3" s="20">
        <f>2*B3</f>
        <v/>
      </c>
      <c r="E3" s="20">
        <f>$B$7</f>
        <v/>
      </c>
      <c r="F3" s="20">
        <f>B3-(2*(D3^2)-C3*E3)/(2*((D3^2)-C3*E3))*((C3)/(D3))</f>
        <v/>
      </c>
      <c r="G3" s="20">
        <f>ABS((F3-B3)/F3)*100</f>
        <v/>
      </c>
      <c r="H3" s="20">
        <f>IF(G3&lt;0.00001,"SI","NO")</f>
        <v/>
      </c>
    </row>
    <row r="4">
      <c r="A4" s="29" t="n">
        <v>2</v>
      </c>
      <c r="B4" s="29">
        <f>F3</f>
        <v/>
      </c>
      <c r="C4" s="29">
        <f>B4^2-2</f>
        <v/>
      </c>
      <c r="D4" s="29">
        <f>2*B4</f>
        <v/>
      </c>
      <c r="E4" s="29">
        <f>$B$7</f>
        <v/>
      </c>
      <c r="F4" s="29">
        <f>B4-(2*(D4^2)-C4*E4)/(2*((D4^2)-C4*E4))*((C4)/(D4))</f>
        <v/>
      </c>
      <c r="G4" s="29">
        <f>ABS((F4-B4)/F4)*100</f>
        <v/>
      </c>
      <c r="H4" s="29">
        <f>IF(G4&lt;0.00001,"SI","NO")</f>
        <v/>
      </c>
    </row>
    <row r="5">
      <c r="A5" s="30" t="inlineStr">
        <is>
          <t>MÉTODO DE SUPER HALLEY  —  f(x) = x² − 2 = 0</t>
        </is>
      </c>
    </row>
    <row r="6">
      <c r="A6" s="4" t="inlineStr">
        <is>
          <t>Ecuación:</t>
        </is>
      </c>
      <c r="B6" s="4" t="inlineStr">
        <is>
          <t>f(x) = x² - 2,  f'(x) = 2x,  f''(x) = 2</t>
        </is>
      </c>
      <c r="C6" s="4" t="n"/>
      <c r="D6" s="4" t="n"/>
      <c r="E6" s="4" t="inlineStr">
        <is>
          <t>Fórmula:</t>
        </is>
      </c>
      <c r="F6" s="4" t="inlineStr">
        <is>
          <t>xₙ₊₁ = xₙ − [ 2·(f′(xₙ))² − f(xₙ)·f″(xₙ) ] / [ 2·((f′(xₙ))² − f(xₙ)·f″(xₙ)) ] · (f(xₙ) / f′(xₙ))</t>
        </is>
      </c>
      <c r="G6" s="4" t="n"/>
      <c r="H6" s="4" t="n"/>
    </row>
    <row r="7">
      <c r="A7" t="inlineStr">
        <is>
          <t>f''(x)</t>
        </is>
      </c>
      <c r="B7" t="n">
        <v>2</v>
      </c>
    </row>
  </sheetData>
  <mergeCells count="1">
    <mergeCell ref="A5:H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H7"/>
  <sheetViews>
    <sheetView workbookViewId="0">
      <selection activeCell="A1" sqref="A1"/>
    </sheetView>
  </sheetViews>
  <sheetFormatPr baseColWidth="8" defaultRowHeight="15"/>
  <sheetData>
    <row r="2">
      <c r="A2" s="8" t="inlineStr">
        <is>
          <t>k</t>
        </is>
      </c>
      <c r="B2" s="8" t="inlineStr">
        <is>
          <t>xₖ</t>
        </is>
      </c>
      <c r="C2" s="8" t="inlineStr">
        <is>
          <t>f(xₖ)</t>
        </is>
      </c>
      <c r="D2" s="8" t="inlineStr">
        <is>
          <t>f'(xₖ)</t>
        </is>
      </c>
      <c r="E2" s="8" t="inlineStr">
        <is>
          <t>f''(xₖ)</t>
        </is>
      </c>
      <c r="F2" s="8" t="inlineStr">
        <is>
          <t>xₖ₊₁</t>
        </is>
      </c>
      <c r="G2" s="8" t="inlineStr">
        <is>
          <t>Error %</t>
        </is>
      </c>
      <c r="H2" s="8" t="inlineStr">
        <is>
          <t>Convergencia</t>
        </is>
      </c>
    </row>
    <row r="3">
      <c r="A3" s="31" t="n">
        <v>0</v>
      </c>
      <c r="B3" s="31" t="n">
        <v>1</v>
      </c>
      <c r="C3" s="31">
        <f>B3^2-2</f>
        <v/>
      </c>
      <c r="D3" s="31">
        <f>2*B3</f>
        <v/>
      </c>
      <c r="E3" s="31" t="n">
        <v>2</v>
      </c>
      <c r="F3" s="31">
        <f>B3-(D3/((D3^2-C3*E3)^(1/2)))*(C3/D3)</f>
        <v/>
      </c>
      <c r="G3" s="31">
        <f>ABS((F3-B3)/F3)*100</f>
        <v/>
      </c>
      <c r="H3" s="31">
        <f>IF(G3&lt;0.00001,"SI","NO")</f>
        <v/>
      </c>
    </row>
    <row r="4">
      <c r="A4" s="8" t="n">
        <v>1</v>
      </c>
      <c r="B4" s="8">
        <f>F3</f>
        <v/>
      </c>
      <c r="C4" s="8">
        <f>B4^2-2</f>
        <v/>
      </c>
      <c r="D4" s="8">
        <f>2*B4</f>
        <v/>
      </c>
      <c r="E4" s="8" t="n">
        <v>2</v>
      </c>
      <c r="F4" s="8">
        <f>B4-(D4/((D4^2-C4*E4)^(1/2)))*(C4/D4)</f>
        <v/>
      </c>
      <c r="G4" s="8">
        <f>ABS((F4-B4)/F4)*100</f>
        <v/>
      </c>
      <c r="H4" s="8">
        <f>IF(G4&lt;0.00001,"SI","NO")</f>
        <v/>
      </c>
    </row>
    <row r="5">
      <c r="A5" s="31" t="n">
        <v>2</v>
      </c>
      <c r="B5" s="31">
        <f>F4</f>
        <v/>
      </c>
      <c r="C5" s="31">
        <f>B5^2-2</f>
        <v/>
      </c>
      <c r="D5" s="31">
        <f>2*B5</f>
        <v/>
      </c>
      <c r="E5" s="31" t="n">
        <v>2</v>
      </c>
      <c r="F5" s="31">
        <f>B5-(D5/((D5^2-C5*E5)^(1/2)))*(C5/D5)</f>
        <v/>
      </c>
      <c r="G5" s="31">
        <f>ABS((F5-B5)/F5)*100</f>
        <v/>
      </c>
      <c r="H5" s="31">
        <f>IF(G5&lt;0.00001,"SI","NO")</f>
        <v/>
      </c>
    </row>
    <row r="6">
      <c r="A6" s="32" t="inlineStr">
        <is>
          <t>MÉTODO DE OSTROWSKY  —  f(x) = x² − 2 = 0</t>
        </is>
      </c>
    </row>
    <row r="7">
      <c r="A7" s="4" t="inlineStr">
        <is>
          <t>Ecuación:</t>
        </is>
      </c>
      <c r="B7" s="4" t="inlineStr">
        <is>
          <t>f(x) = x² - 2,  f'(x) = 2x,  f''(x) = 2</t>
        </is>
      </c>
      <c r="C7" s="4" t="n"/>
      <c r="D7" s="4" t="n"/>
      <c r="E7" s="4" t="inlineStr">
        <is>
          <t>Fórmula:</t>
        </is>
      </c>
      <c r="F7" s="4" t="inlineStr">
        <is>
          <t>xₙ₊₁ = xₙ − (f'(xₙ)/√(f'²−f·f'')) · (f/f')</t>
        </is>
      </c>
      <c r="G7" s="4" t="n"/>
      <c r="H7" s="4" t="n"/>
    </row>
  </sheetData>
  <mergeCells count="1">
    <mergeCell ref="A6:H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k</t>
        </is>
      </c>
      <c r="B1" s="11" t="inlineStr">
        <is>
          <t>xₖ</t>
        </is>
      </c>
      <c r="C1" s="11" t="inlineStr">
        <is>
          <t>f(xₖ)</t>
        </is>
      </c>
      <c r="D1" s="11" t="inlineStr">
        <is>
          <t>xₖ₋₁ (prev)</t>
        </is>
      </c>
      <c r="E1" s="11" t="inlineStr">
        <is>
          <t>f(xₖ-₁)</t>
        </is>
      </c>
      <c r="F1" s="11" t="inlineStr">
        <is>
          <t>xₖ₊₁</t>
        </is>
      </c>
      <c r="G1" s="11" t="inlineStr">
        <is>
          <t>Error %</t>
        </is>
      </c>
      <c r="H1" s="11" t="inlineStr">
        <is>
          <t>Convergencia</t>
        </is>
      </c>
    </row>
    <row r="2">
      <c r="A2" s="12" t="n">
        <v>0</v>
      </c>
      <c r="B2" s="12" t="n">
        <v>1</v>
      </c>
      <c r="C2" s="12">
        <f>B2^2-2</f>
        <v/>
      </c>
      <c r="D2" s="12" t="n"/>
      <c r="E2" s="12" t="n"/>
      <c r="F2" s="12" t="n"/>
      <c r="G2" s="12" t="n"/>
      <c r="H2" s="12" t="n"/>
    </row>
    <row r="3">
      <c r="A3" s="11" t="n">
        <v>1</v>
      </c>
      <c r="B3" s="11" t="n">
        <v>2</v>
      </c>
      <c r="C3" s="11">
        <f>B3^2-2</f>
        <v/>
      </c>
      <c r="D3" s="11">
        <f>B2</f>
        <v/>
      </c>
      <c r="E3" s="11">
        <f>C2</f>
        <v/>
      </c>
      <c r="F3" s="11">
        <f>B3-(C3*(B3-D3)/(C3-E3))</f>
        <v/>
      </c>
      <c r="G3" s="11">
        <f>IFERROR(ABS((F3-B3)/F3)*100,0)</f>
        <v/>
      </c>
      <c r="H3" s="11">
        <f>IF(IFERROR(G3,0)&lt;0.00001,"SI","NO")</f>
        <v/>
      </c>
    </row>
    <row r="4">
      <c r="A4" s="12" t="n">
        <v>2</v>
      </c>
      <c r="B4" s="12">
        <f>IFERROR(F3,B3)</f>
        <v/>
      </c>
      <c r="C4" s="12">
        <f>IFERROR(B4^2-2,0)</f>
        <v/>
      </c>
      <c r="D4" s="12">
        <f>IFERROR(B3,B3)</f>
        <v/>
      </c>
      <c r="E4" s="12">
        <f>IFERROR(C3,0)</f>
        <v/>
      </c>
      <c r="F4" s="12">
        <f>IFERROR(B4-(C4*(B4-D4)/(C4-E4)),B4)</f>
        <v/>
      </c>
      <c r="G4" s="12">
        <f>IFERROR(ABS((F4-B4)/F4)*100,0)</f>
        <v/>
      </c>
      <c r="H4" s="12">
        <f>IF(IFERROR(G4,0)&lt;0.00001,"SI","NO")</f>
        <v/>
      </c>
    </row>
    <row r="5">
      <c r="A5" s="11" t="n">
        <v>3</v>
      </c>
      <c r="B5" s="11">
        <f>IFERROR(F4,B4)</f>
        <v/>
      </c>
      <c r="C5" s="11">
        <f>IFERROR(B5^2-2,0)</f>
        <v/>
      </c>
      <c r="D5" s="11">
        <f>IFERROR(B4,B4)</f>
        <v/>
      </c>
      <c r="E5" s="11">
        <f>IFERROR(C4,0)</f>
        <v/>
      </c>
      <c r="F5" s="11">
        <f>IFERROR(B5-(C5*(B5-D5)/(C5-E5)),B5)</f>
        <v/>
      </c>
      <c r="G5" s="11">
        <f>IFERROR(ABS((F5-B5)/F5)*100,0)</f>
        <v/>
      </c>
      <c r="H5" s="11">
        <f>IF(IFERROR(G5,0)&lt;0.00001,"SI","NO")</f>
        <v/>
      </c>
    </row>
    <row r="6">
      <c r="A6" s="12" t="n">
        <v>4</v>
      </c>
      <c r="B6" s="12">
        <f>IFERROR(F5,B5)</f>
        <v/>
      </c>
      <c r="C6" s="12">
        <f>IFERROR(B6^2-2,0)</f>
        <v/>
      </c>
      <c r="D6" s="12">
        <f>IFERROR(B5,B5)</f>
        <v/>
      </c>
      <c r="E6" s="12">
        <f>IFERROR(C5,0)</f>
        <v/>
      </c>
      <c r="F6" s="12">
        <f>IFERROR(B6-(C6*(B6-D6)/(C6-E6)),B6)</f>
        <v/>
      </c>
      <c r="G6" s="12">
        <f>IFERROR(ABS((F6-B6)/F6)*100,0)</f>
        <v/>
      </c>
      <c r="H6" s="12">
        <f>IF(IFERROR(G6,0)&lt;0.00001,"SI","NO")</f>
        <v/>
      </c>
    </row>
    <row r="7">
      <c r="A7" s="11" t="n">
        <v>5</v>
      </c>
      <c r="B7" s="11">
        <f>IFERROR(F6,B6)</f>
        <v/>
      </c>
      <c r="C7" s="11">
        <f>IFERROR(B7^2-2,0)</f>
        <v/>
      </c>
      <c r="D7" s="11">
        <f>IFERROR(B6,B6)</f>
        <v/>
      </c>
      <c r="E7" s="11">
        <f>IFERROR(C6,0)</f>
        <v/>
      </c>
      <c r="F7" s="11">
        <f>IFERROR(B7-(C7*(B7-D7)/(C7-E7)),B7)</f>
        <v/>
      </c>
      <c r="G7" s="11">
        <f>IFERROR(ABS((F7-B7)/F7)*100,0)</f>
        <v/>
      </c>
      <c r="H7" s="11">
        <f>IF(IFERROR(G7,0)&lt;0.00001,"SI","NO")</f>
        <v/>
      </c>
    </row>
    <row r="8">
      <c r="A8" s="12" t="n">
        <v>6</v>
      </c>
      <c r="B8" s="12">
        <f>IFERROR(F7,B7)</f>
        <v/>
      </c>
      <c r="C8" s="12">
        <f>IFERROR(B8^2-2,0)</f>
        <v/>
      </c>
      <c r="D8" s="12">
        <f>IFERROR(B7,B7)</f>
        <v/>
      </c>
      <c r="E8" s="12">
        <f>IFERROR(C7,0)</f>
        <v/>
      </c>
      <c r="F8" s="12">
        <f>IFERROR(B8-(C8*(B8-D8)/(C8-E8)),B8)</f>
        <v/>
      </c>
      <c r="G8" s="12">
        <f>IFERROR(ABS((F8-B8)/F8)*100,0)</f>
        <v/>
      </c>
      <c r="H8" s="12">
        <f>IF(IFERROR(G8,0)&lt;0.00001,"SI","NO")</f>
        <v/>
      </c>
    </row>
    <row r="9">
      <c r="A9" s="23" t="inlineStr">
        <is>
          <t>MÉTODO DE LA SECANTE  —  f(x) = x² − 2 = 0</t>
        </is>
      </c>
    </row>
    <row r="10">
      <c r="A10" s="4" t="inlineStr">
        <is>
          <t>Ecuación:</t>
        </is>
      </c>
      <c r="B10" s="4" t="inlineStr">
        <is>
          <t>f(x) = x² - 2</t>
        </is>
      </c>
      <c r="C10" s="4" t="n"/>
      <c r="D10" s="4" t="inlineStr">
        <is>
          <t>Puntos iniciales:</t>
        </is>
      </c>
      <c r="E10" s="4" t="inlineStr">
        <is>
          <t>x₀ = 1,  x₁ = 2</t>
        </is>
      </c>
      <c r="F10" s="4" t="inlineStr">
        <is>
          <t>Fórmula:</t>
        </is>
      </c>
      <c r="G10" s="4" t="inlineStr">
        <is>
          <t>xₙ₊₁ = xₙ − f(xₙ)·(xₙ−xₙ₋₁)/(f(xₙ)−f(xₙ₋₁))</t>
        </is>
      </c>
      <c r="H10" s="4" t="n"/>
    </row>
  </sheetData>
  <mergeCells count="1">
    <mergeCell ref="A9:H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xₖ</t>
        </is>
      </c>
      <c r="C1" s="1" t="inlineStr">
        <is>
          <t>f(xₖ)</t>
        </is>
      </c>
      <c r="D1" s="1" t="inlineStr">
        <is>
          <t>f'(x0)</t>
        </is>
      </c>
      <c r="E1" s="1" t="inlineStr">
        <is>
          <t>xₖ₊₁</t>
        </is>
      </c>
      <c r="F1" s="1" t="inlineStr">
        <is>
          <t>Error %</t>
        </is>
      </c>
      <c r="G1" s="1" t="inlineStr">
        <is>
          <t>Convergencia</t>
        </is>
      </c>
    </row>
    <row r="2">
      <c r="A2" s="2" t="n">
        <v>0</v>
      </c>
      <c r="B2" s="2" t="n">
        <v>1</v>
      </c>
      <c r="C2" s="2">
        <f>B2^2-2</f>
        <v/>
      </c>
      <c r="D2" s="2" t="n">
        <v>2</v>
      </c>
      <c r="E2" s="2">
        <f>B2-(C2/D2)</f>
        <v/>
      </c>
      <c r="F2" s="2">
        <f>ABS((E2-B2)/E2)*100</f>
        <v/>
      </c>
      <c r="G2" s="2">
        <f>IF(F2&lt;0.00001,"SI","NO")</f>
        <v/>
      </c>
    </row>
    <row r="3">
      <c r="A3" s="1" t="n">
        <v>1</v>
      </c>
      <c r="B3" s="1">
        <f>E2</f>
        <v/>
      </c>
      <c r="C3" s="1">
        <f>B3^2-2</f>
        <v/>
      </c>
      <c r="D3" s="1" t="n">
        <v>2</v>
      </c>
      <c r="E3" s="1">
        <f>B3-(C3/D3)</f>
        <v/>
      </c>
      <c r="F3" s="1">
        <f>ABS((E3-B3)/E3)*100</f>
        <v/>
      </c>
      <c r="G3" s="1">
        <f>IF(F3&lt;0.00001,"SI","NO")</f>
        <v/>
      </c>
    </row>
    <row r="4">
      <c r="A4" s="2" t="n">
        <v>2</v>
      </c>
      <c r="B4" s="2">
        <f>E3</f>
        <v/>
      </c>
      <c r="C4" s="2">
        <f>B4^2-2</f>
        <v/>
      </c>
      <c r="D4" s="2" t="n">
        <v>2</v>
      </c>
      <c r="E4" s="2">
        <f>B4-(C4/D4)</f>
        <v/>
      </c>
      <c r="F4" s="2">
        <f>ABS((E4-B4)/E4)*100</f>
        <v/>
      </c>
      <c r="G4" s="2">
        <f>IF(F4&lt;0.00001,"SI","NO")</f>
        <v/>
      </c>
    </row>
    <row r="5">
      <c r="A5" s="1" t="n">
        <v>3</v>
      </c>
      <c r="B5" s="1">
        <f>E4</f>
        <v/>
      </c>
      <c r="C5" s="1">
        <f>B5^2-2</f>
        <v/>
      </c>
      <c r="D5" s="1" t="n">
        <v>2</v>
      </c>
      <c r="E5" s="1">
        <f>B5-(C5/D5)</f>
        <v/>
      </c>
      <c r="F5" s="1">
        <f>ABS((E5-B5)/E5)*100</f>
        <v/>
      </c>
      <c r="G5" s="1">
        <f>IF(F5&lt;0.00001,"SI","NO")</f>
        <v/>
      </c>
    </row>
    <row r="6">
      <c r="A6" s="2" t="n">
        <v>4</v>
      </c>
      <c r="B6" s="2">
        <f>E5</f>
        <v/>
      </c>
      <c r="C6" s="2">
        <f>B6^2-2</f>
        <v/>
      </c>
      <c r="D6" s="2" t="n">
        <v>2</v>
      </c>
      <c r="E6" s="2">
        <f>B6-(C6/D6)</f>
        <v/>
      </c>
      <c r="F6" s="2">
        <f>ABS((E6-B6)/E6)*100</f>
        <v/>
      </c>
      <c r="G6" s="2">
        <f>IF(F6&lt;0.00001,"SI","NO")</f>
        <v/>
      </c>
    </row>
    <row r="7">
      <c r="A7" s="1" t="n">
        <v>5</v>
      </c>
      <c r="B7" s="1">
        <f>E6</f>
        <v/>
      </c>
      <c r="C7" s="1">
        <f>B7^2-2</f>
        <v/>
      </c>
      <c r="D7" s="1" t="n">
        <v>2</v>
      </c>
      <c r="E7" s="1">
        <f>B7-(C7/D7)</f>
        <v/>
      </c>
      <c r="F7" s="1">
        <f>ABS((E7-B7)/E7)*100</f>
        <v/>
      </c>
      <c r="G7" s="1">
        <f>IF(F7&lt;0.00001,"SI","NO")</f>
        <v/>
      </c>
    </row>
    <row r="8">
      <c r="A8" s="2" t="n">
        <v>6</v>
      </c>
      <c r="B8" s="2">
        <f>E7</f>
        <v/>
      </c>
      <c r="C8" s="2">
        <f>B8^2-2</f>
        <v/>
      </c>
      <c r="D8" s="2" t="n">
        <v>2</v>
      </c>
      <c r="E8" s="2">
        <f>B8-(C8/D8)</f>
        <v/>
      </c>
      <c r="F8" s="2">
        <f>ABS((E8-B8)/E8)*100</f>
        <v/>
      </c>
      <c r="G8" s="2">
        <f>IF(F8&lt;0.00001,"SI","NO")</f>
        <v/>
      </c>
    </row>
    <row r="9">
      <c r="A9" s="1" t="n">
        <v>7</v>
      </c>
      <c r="B9" s="1">
        <f>E8</f>
        <v/>
      </c>
      <c r="C9" s="1">
        <f>B9^2-2</f>
        <v/>
      </c>
      <c r="D9" s="1" t="n">
        <v>2</v>
      </c>
      <c r="E9" s="1">
        <f>B9-(C9/D9)</f>
        <v/>
      </c>
      <c r="F9" s="1">
        <f>ABS((E9-B9)/E9)*100</f>
        <v/>
      </c>
      <c r="G9" s="1">
        <f>IF(F9&lt;0.00001,"SI","NO")</f>
        <v/>
      </c>
    </row>
    <row r="10">
      <c r="A10" s="2" t="n">
        <v>8</v>
      </c>
      <c r="B10" s="2">
        <f>E9</f>
        <v/>
      </c>
      <c r="C10" s="2">
        <f>B10^2-2</f>
        <v/>
      </c>
      <c r="D10" s="2" t="n">
        <v>2</v>
      </c>
      <c r="E10" s="2">
        <f>B10-(C10/D10)</f>
        <v/>
      </c>
      <c r="F10" s="2">
        <f>ABS((E10-B10)/E10)*100</f>
        <v/>
      </c>
      <c r="G10" s="2">
        <f>IF(F10&lt;0.00001,"SI","NO")</f>
        <v/>
      </c>
    </row>
    <row r="11">
      <c r="A11" s="1" t="n">
        <v>9</v>
      </c>
      <c r="B11" s="1">
        <f>E10</f>
        <v/>
      </c>
      <c r="C11" s="1">
        <f>B11^2-2</f>
        <v/>
      </c>
      <c r="D11" s="1" t="n">
        <v>2</v>
      </c>
      <c r="E11" s="1">
        <f>B11-(C11/D11)</f>
        <v/>
      </c>
      <c r="F11" s="1">
        <f>ABS((E11-B11)/E11)*100</f>
        <v/>
      </c>
      <c r="G11" s="1">
        <f>IF(F11&lt;0.00001,"SI","NO")</f>
        <v/>
      </c>
    </row>
    <row r="12">
      <c r="A12" s="2" t="n">
        <v>10</v>
      </c>
      <c r="B12" s="2">
        <f>E11</f>
        <v/>
      </c>
      <c r="C12" s="2">
        <f>B12^2-2</f>
        <v/>
      </c>
      <c r="D12" s="2" t="n">
        <v>2</v>
      </c>
      <c r="E12" s="2">
        <f>B12-(C12/D12)</f>
        <v/>
      </c>
      <c r="F12" s="2">
        <f>ABS((E12-B12)/E12)*100</f>
        <v/>
      </c>
      <c r="G12" s="2">
        <f>IF(F12&lt;0.00001,"SI","NO")</f>
        <v/>
      </c>
    </row>
    <row r="13">
      <c r="A13" s="1" t="n">
        <v>11</v>
      </c>
      <c r="B13" s="1">
        <f>E12</f>
        <v/>
      </c>
      <c r="C13" s="1">
        <f>B13^2-2</f>
        <v/>
      </c>
      <c r="D13" s="1" t="n">
        <v>2</v>
      </c>
      <c r="E13" s="1">
        <f>B13-(C13/D13)</f>
        <v/>
      </c>
      <c r="F13" s="1">
        <f>ABS((E13-B13)/E13)*100</f>
        <v/>
      </c>
      <c r="G13" s="1">
        <f>IF(F13&lt;0.00001,"SI","NO")</f>
        <v/>
      </c>
    </row>
    <row r="14">
      <c r="A14" s="2" t="n">
        <v>12</v>
      </c>
      <c r="B14" s="2">
        <f>E13</f>
        <v/>
      </c>
      <c r="C14" s="2">
        <f>B14^2-2</f>
        <v/>
      </c>
      <c r="D14" s="2" t="n">
        <v>2</v>
      </c>
      <c r="E14" s="2">
        <f>B14-(C14/D14)</f>
        <v/>
      </c>
      <c r="F14" s="2">
        <f>ABS((E14-B14)/E14)*100</f>
        <v/>
      </c>
      <c r="G14" s="2">
        <f>IF(F14&lt;0.00001,"SI","NO")</f>
        <v/>
      </c>
    </row>
    <row r="15">
      <c r="A15" s="1" t="n">
        <v>13</v>
      </c>
      <c r="B15" s="1">
        <f>E14</f>
        <v/>
      </c>
      <c r="C15" s="1">
        <f>B15^2-2</f>
        <v/>
      </c>
      <c r="D15" s="1" t="n">
        <v>2</v>
      </c>
      <c r="E15" s="1">
        <f>B15-(C15/D15)</f>
        <v/>
      </c>
      <c r="F15" s="1">
        <f>ABS((E15-B15)/E15)*100</f>
        <v/>
      </c>
      <c r="G15" s="1">
        <f>IF(F15&lt;0.00001,"SI","NO")</f>
        <v/>
      </c>
    </row>
    <row r="16">
      <c r="A16" s="2" t="n">
        <v>14</v>
      </c>
      <c r="B16" s="2">
        <f>E15</f>
        <v/>
      </c>
      <c r="C16" s="2">
        <f>B16^2-2</f>
        <v/>
      </c>
      <c r="D16" s="2" t="n">
        <v>2</v>
      </c>
      <c r="E16" s="2">
        <f>B16-(C16/D16)</f>
        <v/>
      </c>
      <c r="F16" s="2">
        <f>ABS((E16-B16)/E16)*100</f>
        <v/>
      </c>
      <c r="G16" s="2">
        <f>IF(F16&lt;0.00001,"SI","NO")</f>
        <v/>
      </c>
    </row>
    <row r="17">
      <c r="A17" s="1" t="n">
        <v>15</v>
      </c>
      <c r="B17" s="1">
        <f>E16</f>
        <v/>
      </c>
      <c r="C17" s="1">
        <f>B17^2-2</f>
        <v/>
      </c>
      <c r="D17" s="1" t="n">
        <v>2</v>
      </c>
      <c r="E17" s="1">
        <f>B17-(C17/D17)</f>
        <v/>
      </c>
      <c r="F17" s="1">
        <f>ABS((E17-B17)/E17)*100</f>
        <v/>
      </c>
      <c r="G17" s="1">
        <f>IF(F17&lt;0.00001,"SI","NO")</f>
        <v/>
      </c>
    </row>
    <row r="18">
      <c r="A18" s="2" t="n">
        <v>16</v>
      </c>
      <c r="B18" s="2">
        <f>E17</f>
        <v/>
      </c>
      <c r="C18" s="2">
        <f>B18^2-2</f>
        <v/>
      </c>
      <c r="D18" s="2" t="n">
        <v>2</v>
      </c>
      <c r="E18" s="2">
        <f>B18-(C18/D18)</f>
        <v/>
      </c>
      <c r="F18" s="2">
        <f>ABS((E18-B18)/E18)*100</f>
        <v/>
      </c>
      <c r="G18" s="2">
        <f>IF(F18&lt;0.00001,"SI","NO")</f>
        <v/>
      </c>
    </row>
    <row r="19">
      <c r="A19" s="1" t="n">
        <v>17</v>
      </c>
      <c r="B19" s="1">
        <f>E18</f>
        <v/>
      </c>
      <c r="C19" s="1">
        <f>B19^2-2</f>
        <v/>
      </c>
      <c r="D19" s="1" t="n">
        <v>2</v>
      </c>
      <c r="E19" s="1">
        <f>B19-(C19/D19)</f>
        <v/>
      </c>
      <c r="F19" s="1">
        <f>ABS((E19-B19)/E19)*100</f>
        <v/>
      </c>
      <c r="G19" s="1">
        <f>IF(F19&lt;0.00001,"SI","NO")</f>
        <v/>
      </c>
    </row>
    <row r="20">
      <c r="A20" s="3" t="inlineStr">
        <is>
          <t>MÉTODO DE VON MISES  —  f(x) = x² − 2 = 0</t>
        </is>
      </c>
    </row>
    <row r="21">
      <c r="A21" s="4" t="inlineStr">
        <is>
          <t>Ecuación:</t>
        </is>
      </c>
      <c r="B21" s="4" t="inlineStr">
        <is>
          <t>f(x) = x² - 2,  f'(x) = 2x</t>
        </is>
      </c>
      <c r="C21" s="4" t="n"/>
      <c r="D21" s="4" t="inlineStr">
        <is>
          <t>f'(x₀):</t>
        </is>
      </c>
      <c r="E21" s="4" t="inlineStr">
        <is>
          <t>f'(1) = 2  (constante en todas las iteraciones)</t>
        </is>
      </c>
      <c r="F21" s="4" t="inlineStr">
        <is>
          <t>Fórmula:</t>
        </is>
      </c>
      <c r="G21" s="4" t="inlineStr">
        <is>
          <t>xₙ₊₁ = xₙ − f(xₙ) / f'(x₀)</t>
        </is>
      </c>
    </row>
  </sheetData>
  <mergeCells count="1">
    <mergeCell ref="A20:H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2026-06-05T05:13:45Z</dcterms:created>
  <dcterms:modified xmlns:dcterms="http://purl.org/dc/terms/" xmlns:xsi="http://www.w3.org/2001/XMLSchema-instance" xsi:type="dcterms:W3CDTF">2026-06-05T05:13:45Z</dcterms:modified>
</cp:coreProperties>
</file>